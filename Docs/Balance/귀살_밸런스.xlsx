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상수" sheetId="2" state="visible" r:id="rId4"/>
    <sheet name="레벨표" sheetId="3" state="visible" r:id="rId5"/>
    <sheet name="귀신" sheetId="4" state="visible" r:id="rId6"/>
    <sheet name="옵션" sheetId="5" state="visible" r:id="rId7"/>
    <sheet name="지역" sheetId="6" state="visible" r:id="rId8"/>
    <sheet name="전투시뮬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WenQuanYi Zen Hei"/>
            <family val="2"/>
          </rPr>
          <t xml:space="preserve">몬스터 체력에 곱하는 배율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상수 시트 </t>
        </r>
        <r>
          <rPr>
            <sz val="10"/>
            <rFont val="Arial"/>
            <family val="2"/>
          </rPr>
          <t xml:space="preserve">MonsterLevelGrowth</t>
        </r>
        <r>
          <rPr>
            <sz val="10"/>
            <rFont val="WenQuanYi Zen Hei"/>
            <family val="2"/>
          </rPr>
          <t xml:space="preserve">로 조정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피해는 옆 열 </t>
        </r>
        <r>
          <rPr>
            <sz val="10"/>
            <rFont val="Arial"/>
            <family val="2"/>
          </rPr>
          <t xml:space="preserve">MonsterDamageMult)</t>
        </r>
      </text>
    </comment>
    <comment ref="H1" authorId="0">
      <text>
        <r>
          <rPr>
            <sz val="10"/>
            <rFont val="WenQuanYi Zen Hei"/>
            <family val="2"/>
          </rPr>
          <t xml:space="preserve">이 레벨의 적에게 물리 피해 </t>
        </r>
        <r>
          <rPr>
            <sz val="10"/>
            <rFont val="Arial"/>
            <family val="2"/>
          </rPr>
          <t xml:space="preserve">50% </t>
        </r>
        <r>
          <rPr>
            <sz val="10"/>
            <rFont val="WenQuanYi Zen Hei"/>
            <family val="2"/>
          </rPr>
          <t xml:space="preserve">감소를 얻는 데 필요한 방어력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방어력 </t>
        </r>
        <r>
          <rPr>
            <sz val="10"/>
            <rFont val="Arial"/>
            <family val="2"/>
          </rPr>
          <t xml:space="preserve">= 15×</t>
        </r>
        <r>
          <rPr>
            <sz val="10"/>
            <rFont val="WenQuanYi Zen Hei"/>
            <family val="2"/>
          </rPr>
          <t xml:space="preserve">레벨</t>
        </r>
        <r>
          <rPr>
            <sz val="10"/>
            <rFont val="Arial"/>
            <family val="2"/>
          </rPr>
          <t xml:space="preserve">+50</t>
        </r>
        <r>
          <rPr>
            <sz val="10"/>
            <rFont val="WenQuanYi Zen Hei"/>
            <family val="2"/>
          </rPr>
          <t xml:space="preserve">일 때 정확히 </t>
        </r>
        <r>
          <rPr>
            <sz val="10"/>
            <rFont val="Arial"/>
            <family val="2"/>
          </rPr>
          <t xml:space="preserve">50%)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WenQuanYi Zen Hei"/>
            <family val="2"/>
          </rPr>
          <t xml:space="preserve">몬스터 레벨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WenQuanYi Zen Hei"/>
            <family val="2"/>
          </rPr>
          <t xml:space="preserve">기준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실제 체력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이 값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WenQuanYi Zen Hei"/>
            <family val="2"/>
          </rPr>
          <t xml:space="preserve">레벨표 </t>
        </r>
        <r>
          <rPr>
            <sz val="10"/>
            <rFont val="Arial"/>
            <family val="2"/>
          </rPr>
          <t xml:space="preserve">MonsterMult, </t>
        </r>
        <r>
          <rPr>
            <sz val="10"/>
            <rFont val="WenQuanYi Zen Hei"/>
            <family val="2"/>
          </rPr>
          <t xml:space="preserve">실제 피해 </t>
        </r>
        <r>
          <rPr>
            <sz val="10"/>
            <rFont val="Arial"/>
            <family val="2"/>
          </rPr>
          <t xml:space="preserve">= BaseDamage × </t>
        </r>
        <r>
          <rPr>
            <sz val="10"/>
            <rFont val="WenQuanYi Zen Hei"/>
            <family val="2"/>
          </rPr>
          <t xml:space="preserve">레벨표 </t>
        </r>
        <r>
          <rPr>
            <sz val="10"/>
            <rFont val="Arial"/>
            <family val="2"/>
          </rPr>
          <t xml:space="preserve">MonsterDamageMult (</t>
        </r>
        <r>
          <rPr>
            <sz val="10"/>
            <rFont val="WenQuanYi Zen Hei"/>
            <family val="2"/>
          </rPr>
          <t xml:space="preserve">정예는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WenQuanYi Zen Hei"/>
            <family val="2"/>
          </rPr>
          <t xml:space="preserve">상수 </t>
        </r>
        <r>
          <rPr>
            <sz val="10"/>
            <rFont val="Arial"/>
            <family val="2"/>
          </rPr>
          <t xml:space="preserve">EliteHealthMult / EliteDamageMult)</t>
        </r>
      </text>
    </comment>
    <comment ref="I1" authorId="0">
      <text>
        <r>
          <rPr>
            <sz val="10"/>
            <rFont val="Arial"/>
            <family val="2"/>
          </rPr>
          <t xml:space="preserve">Physical / Fire(</t>
        </r>
        <r>
          <rPr>
            <sz val="10"/>
            <rFont val="WenQuanYi Zen Hei"/>
            <family val="2"/>
          </rPr>
          <t xml:space="preserve">화</t>
        </r>
        <r>
          <rPr>
            <sz val="10"/>
            <rFont val="Arial"/>
            <family val="2"/>
          </rPr>
          <t xml:space="preserve">) / Water(</t>
        </r>
        <r>
          <rPr>
            <sz val="10"/>
            <rFont val="WenQuanYi Zen Hei"/>
            <family val="2"/>
          </rPr>
          <t xml:space="preserve">수</t>
        </r>
        <r>
          <rPr>
            <sz val="10"/>
            <rFont val="Arial"/>
            <family val="2"/>
          </rPr>
          <t xml:space="preserve">) / Poison(</t>
        </r>
        <r>
          <rPr>
            <sz val="10"/>
            <rFont val="WenQuanYi Zen Hei"/>
            <family val="2"/>
          </rPr>
          <t xml:space="preserve">독</t>
        </r>
        <r>
          <rPr>
            <sz val="10"/>
            <rFont val="Arial"/>
            <family val="2"/>
          </rPr>
          <t xml:space="preserve">) / Yin(</t>
        </r>
        <r>
          <rPr>
            <sz val="10"/>
            <rFont val="WenQuanYi Zen Hei"/>
            <family val="2"/>
          </rPr>
          <t xml:space="preserve">음</t>
        </r>
        <r>
          <rPr>
            <sz val="10"/>
            <rFont val="Arial"/>
            <family val="2"/>
          </rPr>
          <t xml:space="preserve">)</t>
        </r>
      </text>
    </comment>
    <comment ref="K1" authorId="0">
      <text>
        <r>
          <rPr>
            <sz val="10"/>
            <rFont val="WenQuanYi Zen Hei"/>
            <family val="2"/>
          </rPr>
          <t xml:space="preserve">저항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음수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약점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예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도깨비불 수 저항 −</t>
        </r>
        <r>
          <rPr>
            <sz val="10"/>
            <rFont val="Arial"/>
            <family val="2"/>
          </rPr>
          <t xml:space="preserve">25% → </t>
        </r>
        <r>
          <rPr>
            <sz val="10"/>
            <rFont val="WenQuanYi Zen Hei"/>
            <family val="2"/>
          </rPr>
          <t xml:space="preserve">수 피해를 </t>
        </r>
        <r>
          <rPr>
            <sz val="10"/>
            <rFont val="Arial"/>
            <family val="2"/>
          </rPr>
          <t xml:space="preserve">25% </t>
        </r>
        <r>
          <rPr>
            <sz val="10"/>
            <rFont val="WenQuanYi Zen Hei"/>
            <family val="2"/>
          </rPr>
          <t xml:space="preserve">더 받음</t>
        </r>
        <r>
          <rPr>
            <sz val="10"/>
            <rFont val="Arial"/>
            <family val="2"/>
          </rPr>
          <t xml:space="preserve">). 100% </t>
        </r>
        <r>
          <rPr>
            <sz val="10"/>
            <rFont val="WenQuanYi Zen Hei"/>
            <family val="2"/>
          </rPr>
          <t xml:space="preserve">면역은 만들지 않음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Flat = </t>
        </r>
        <r>
          <rPr>
            <sz val="10"/>
            <rFont val="WenQuanYi Zen Hei"/>
            <family val="2"/>
          </rPr>
          <t xml:space="preserve">고정값 더하기 </t>
        </r>
        <r>
          <rPr>
            <sz val="10"/>
            <rFont val="Arial"/>
            <family val="2"/>
          </rPr>
          <t xml:space="preserve">/ AddPct = % </t>
        </r>
        <r>
          <rPr>
            <sz val="10"/>
            <rFont val="WenQuanYi Zen Hei"/>
            <family val="2"/>
          </rPr>
          <t xml:space="preserve">더하기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같은 구간끼리 더함</t>
        </r>
        <r>
          <rPr>
            <sz val="10"/>
            <rFont val="Arial"/>
            <family val="2"/>
          </rPr>
          <t xml:space="preserve">)</t>
        </r>
      </text>
    </comment>
    <comment ref="E1" authorId="0">
      <text>
        <r>
          <rPr>
            <sz val="10"/>
            <rFont val="WenQuanYi Zen Hei"/>
            <family val="2"/>
          </rPr>
          <t xml:space="preserve">이 아이템 레벨 이상에서만 붙을 수 있음</t>
        </r>
      </text>
    </comment>
    <comment ref="F1" authorId="0">
      <text>
        <r>
          <rPr>
            <sz val="10"/>
            <rFont val="Arial"/>
            <family val="2"/>
          </rPr>
          <t xml:space="preserve">T1 = </t>
        </r>
        <r>
          <rPr>
            <sz val="10"/>
            <rFont val="WenQuanYi Zen Hei"/>
            <family val="2"/>
          </rPr>
          <t xml:space="preserve">아이템 레벨 </t>
        </r>
        <r>
          <rPr>
            <sz val="10"/>
            <rFont val="Arial"/>
            <family val="2"/>
          </rPr>
          <t xml:space="preserve">1~15, T2 = 16~35, T3 = 36~55 </t>
        </r>
        <r>
          <rPr>
            <sz val="10"/>
            <rFont val="WenQuanYi Zen Hei"/>
            <family val="2"/>
          </rPr>
          <t xml:space="preserve">구간의 수치 범위</t>
        </r>
      </text>
    </comment>
    <comment ref="L1" authorId="0">
      <text>
        <r>
          <rPr>
            <sz val="10"/>
            <rFont val="Arial"/>
            <family val="2"/>
          </rPr>
          <t xml:space="preserve">O = </t>
        </r>
        <r>
          <rPr>
            <sz val="10"/>
            <rFont val="WenQuanYi Zen Hei"/>
            <family val="2"/>
          </rPr>
          <t xml:space="preserve">이 칸 아이템에 붙을 수 있음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빈칸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안 붙음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0 = </t>
        </r>
        <r>
          <rPr>
            <sz val="10"/>
            <rFont val="WenQuanYi Zen Hei"/>
            <family val="2"/>
          </rPr>
          <t xml:space="preserve">안전 지역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거점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WenQuanYi Zen Hei"/>
            <family val="2"/>
          </rPr>
          <t xml:space="preserve">귀신 없음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산 아래 마을은 탈환 전 전투 레벨 </t>
        </r>
        <r>
          <rPr>
            <sz val="10"/>
            <rFont val="Arial"/>
            <family val="2"/>
          </rPr>
          <t xml:space="preserve">4</t>
        </r>
      </text>
    </comment>
    <comment ref="H1" authorId="0">
      <text>
        <r>
          <rPr>
            <sz val="10"/>
            <rFont val="WenQuanYi Zen Hei"/>
            <family val="2"/>
          </rPr>
          <t xml:space="preserve">귀신 최대 동시 등장 수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성능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모바일 대비 상한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<sst xmlns="http://schemas.openxmlformats.org/spreadsheetml/2006/main" count="691" uniqueCount="445">
  <si>
    <r>
      <rPr>
        <b val="true"/>
        <sz val="14"/>
        <rFont val="WenQuanYi Zen Hei"/>
        <family val="2"/>
      </rPr>
      <t xml:space="preserve">귀살 밸런스 시트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초안</t>
    </r>
    <r>
      <rPr>
        <b val="true"/>
        <sz val="14"/>
        <rFont val="맑은 고딕"/>
        <family val="0"/>
        <charset val="1"/>
      </rPr>
      <t xml:space="preserve">)</t>
    </r>
  </si>
  <si>
    <t xml:space="preserve">작성</t>
  </si>
  <si>
    <r>
      <rPr>
        <sz val="11"/>
        <rFont val="맑은 고딕"/>
        <family val="0"/>
        <charset val="1"/>
      </rPr>
      <t xml:space="preserve">2026-10-13 </t>
    </r>
    <r>
      <rPr>
        <sz val="11"/>
        <rFont val="WenQuanYi Zen Hei"/>
        <family val="2"/>
      </rPr>
      <t xml:space="preserve">초안</t>
    </r>
    <r>
      <rPr>
        <sz val="11"/>
        <rFont val="맑은 고딕"/>
        <family val="0"/>
        <charset val="1"/>
      </rPr>
      <t xml:space="preserve">. </t>
    </r>
    <r>
      <rPr>
        <sz val="11"/>
        <rFont val="WenQuanYi Zen Hei"/>
        <family val="2"/>
      </rPr>
      <t xml:space="preserve">개발현황</t>
    </r>
    <r>
      <rPr>
        <sz val="11"/>
        <rFont val="맑은 고딕"/>
        <family val="0"/>
        <charset val="1"/>
      </rPr>
      <t xml:space="preserve">.md "</t>
    </r>
    <r>
      <rPr>
        <sz val="11"/>
        <rFont val="WenQuanYi Zen Hei"/>
        <family val="2"/>
      </rPr>
      <t xml:space="preserve">능력치 </t>
    </r>
    <r>
      <rPr>
        <sz val="11"/>
        <rFont val="맑은 고딕"/>
        <family val="0"/>
        <charset val="1"/>
      </rPr>
      <t xml:space="preserve">&amp; </t>
    </r>
    <r>
      <rPr>
        <sz val="11"/>
        <rFont val="WenQuanYi Zen Hei"/>
        <family val="2"/>
      </rPr>
      <t xml:space="preserve">계산식</t>
    </r>
    <r>
      <rPr>
        <sz val="11"/>
        <rFont val="맑은 고딕"/>
        <family val="0"/>
        <charset val="1"/>
      </rPr>
      <t xml:space="preserve">" </t>
    </r>
    <r>
      <rPr>
        <sz val="11"/>
        <rFont val="WenQuanYi Zen Hei"/>
        <family val="2"/>
      </rPr>
      <t xml:space="preserve">기준</t>
    </r>
    <r>
      <rPr>
        <sz val="11"/>
        <rFont val="맑은 고딕"/>
        <family val="0"/>
        <charset val="1"/>
      </rPr>
      <t xml:space="preserve">. </t>
    </r>
    <r>
      <rPr>
        <sz val="11"/>
        <rFont val="WenQuanYi Zen Hei"/>
        <family val="2"/>
      </rPr>
      <t xml:space="preserve">모든 수치는 출발점이며 플레이하면서 조정합니다</t>
    </r>
    <r>
      <rPr>
        <sz val="11"/>
        <rFont val="맑은 고딕"/>
        <family val="0"/>
        <charset val="1"/>
      </rPr>
      <t xml:space="preserve">.</t>
    </r>
  </si>
  <si>
    <t xml:space="preserve">색 규칙</t>
  </si>
  <si>
    <r>
      <rPr>
        <sz val="11"/>
        <color rgb="FF0000FF"/>
        <rFont val="WenQuanYi Zen Hei"/>
        <family val="2"/>
      </rPr>
      <t xml:space="preserve">파란 글자 </t>
    </r>
    <r>
      <rPr>
        <sz val="11"/>
        <color rgb="FF0000FF"/>
        <rFont val="맑은 고딕"/>
        <family val="0"/>
        <charset val="1"/>
      </rPr>
      <t xml:space="preserve">+ </t>
    </r>
    <r>
      <rPr>
        <sz val="11"/>
        <color rgb="FF0000FF"/>
        <rFont val="WenQuanYi Zen Hei"/>
        <family val="2"/>
      </rPr>
      <t xml:space="preserve">노란 칸</t>
    </r>
  </si>
  <si>
    <r>
      <rPr>
        <sz val="11"/>
        <rFont val="WenQuanYi Zen Hei"/>
        <family val="2"/>
      </rPr>
      <t xml:space="preserve">직접 고치는 값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입력값</t>
    </r>
    <r>
      <rPr>
        <sz val="11"/>
        <rFont val="맑은 고딕"/>
        <family val="0"/>
        <charset val="1"/>
      </rPr>
      <t xml:space="preserve">)</t>
    </r>
  </si>
  <si>
    <t xml:space="preserve">검은 글자</t>
  </si>
  <si>
    <r>
      <rPr>
        <sz val="11"/>
        <rFont val="WenQuanYi Zen Hei"/>
        <family val="2"/>
      </rPr>
      <t xml:space="preserve">계산식 — 고치지 않음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입력값을 바꾸면 자동으로 다시 계산됨</t>
    </r>
    <r>
      <rPr>
        <sz val="11"/>
        <rFont val="맑은 고딕"/>
        <family val="0"/>
        <charset val="1"/>
      </rPr>
      <t xml:space="preserve">)</t>
    </r>
  </si>
  <si>
    <t xml:space="preserve">초록 글자</t>
  </si>
  <si>
    <t xml:space="preserve">다른 시트의 값을 가져오는 칸</t>
  </si>
  <si>
    <t xml:space="preserve">시트 구성</t>
  </si>
  <si>
    <t xml:space="preserve">상수</t>
  </si>
  <si>
    <r>
      <rPr>
        <sz val="11"/>
        <rFont val="맑은 고딕"/>
        <family val="0"/>
        <charset val="1"/>
      </rPr>
      <t xml:space="preserve">BalanceConfig</t>
    </r>
    <r>
      <rPr>
        <sz val="11"/>
        <rFont val="WenQuanYi Zen Hei"/>
        <family val="2"/>
      </rPr>
      <t xml:space="preserve">에 들어갈 상수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상한</t>
    </r>
    <r>
      <rPr>
        <sz val="11"/>
        <rFont val="맑은 고딕"/>
        <family val="0"/>
        <charset val="1"/>
      </rPr>
      <t xml:space="preserve">, </t>
    </r>
    <r>
      <rPr>
        <sz val="11"/>
        <rFont val="WenQuanYi Zen Hei"/>
        <family val="2"/>
      </rPr>
      <t xml:space="preserve">계산식 계수</t>
    </r>
    <r>
      <rPr>
        <sz val="11"/>
        <rFont val="맑은 고딕"/>
        <family val="0"/>
        <charset val="1"/>
      </rPr>
      <t xml:space="preserve">, </t>
    </r>
    <r>
      <rPr>
        <sz val="11"/>
        <rFont val="WenQuanYi Zen Hei"/>
        <family val="2"/>
      </rPr>
      <t xml:space="preserve">기본 능력치</t>
    </r>
    <r>
      <rPr>
        <sz val="11"/>
        <rFont val="맑은 고딕"/>
        <family val="0"/>
        <charset val="1"/>
      </rPr>
      <t xml:space="preserve">). </t>
    </r>
    <r>
      <rPr>
        <sz val="11"/>
        <rFont val="WenQuanYi Zen Hei"/>
        <family val="2"/>
      </rPr>
      <t xml:space="preserve">게임으로 내보내는 시트</t>
    </r>
  </si>
  <si>
    <t xml:space="preserve">레벨표</t>
  </si>
  <si>
    <r>
      <rPr>
        <sz val="11"/>
        <rFont val="WenQuanYi Zen Hei"/>
        <family val="2"/>
      </rPr>
      <t xml:space="preserve">레벨 </t>
    </r>
    <r>
      <rPr>
        <sz val="11"/>
        <rFont val="맑은 고딕"/>
        <family val="0"/>
        <charset val="1"/>
      </rPr>
      <t xml:space="preserve">1~55: </t>
    </r>
    <r>
      <rPr>
        <sz val="11"/>
        <rFont val="WenQuanYi Zen Hei"/>
        <family val="2"/>
      </rPr>
      <t xml:space="preserve">몬스터 레벨 배율</t>
    </r>
    <r>
      <rPr>
        <sz val="11"/>
        <rFont val="맑은 고딕"/>
        <family val="0"/>
        <charset val="1"/>
      </rPr>
      <t xml:space="preserve">, </t>
    </r>
    <r>
      <rPr>
        <sz val="11"/>
        <rFont val="WenQuanYi Zen Hei"/>
        <family val="2"/>
      </rPr>
      <t xml:space="preserve">플레이어 기본 체력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기력</t>
    </r>
    <r>
      <rPr>
        <sz val="11"/>
        <rFont val="맑은 고딕"/>
        <family val="0"/>
        <charset val="1"/>
      </rPr>
      <t xml:space="preserve">, </t>
    </r>
    <r>
      <rPr>
        <sz val="11"/>
        <rFont val="WenQuanYi Zen Hei"/>
        <family val="2"/>
      </rPr>
      <t xml:space="preserve">경험치 곡선</t>
    </r>
    <r>
      <rPr>
        <sz val="11"/>
        <rFont val="맑은 고딕"/>
        <family val="0"/>
        <charset val="1"/>
      </rPr>
      <t xml:space="preserve">. </t>
    </r>
    <r>
      <rPr>
        <sz val="11"/>
        <rFont val="WenQuanYi Zen Hei"/>
        <family val="2"/>
      </rPr>
      <t xml:space="preserve">게임으로 내보내는 시트</t>
    </r>
  </si>
  <si>
    <t xml:space="preserve">귀신</t>
  </si>
  <si>
    <r>
      <rPr>
        <sz val="11"/>
        <rFont val="WenQuanYi Zen Hei"/>
        <family val="2"/>
      </rPr>
      <t xml:space="preserve">귀신 종류별 기본 수치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레벨 </t>
    </r>
    <r>
      <rPr>
        <sz val="11"/>
        <rFont val="맑은 고딕"/>
        <family val="0"/>
        <charset val="1"/>
      </rPr>
      <t xml:space="preserve">1 </t>
    </r>
    <r>
      <rPr>
        <sz val="11"/>
        <rFont val="WenQuanYi Zen Hei"/>
        <family val="2"/>
      </rPr>
      <t xml:space="preserve">기준</t>
    </r>
    <r>
      <rPr>
        <sz val="11"/>
        <rFont val="맑은 고딕"/>
        <family val="0"/>
        <charset val="1"/>
      </rPr>
      <t xml:space="preserve">). </t>
    </r>
    <r>
      <rPr>
        <sz val="11"/>
        <rFont val="WenQuanYi Zen Hei"/>
        <family val="2"/>
      </rPr>
      <t xml:space="preserve">게임으로 내보내는 시트</t>
    </r>
  </si>
  <si>
    <t xml:space="preserve">옵션</t>
  </si>
  <si>
    <r>
      <rPr>
        <sz val="11"/>
        <rFont val="WenQuanYi Zen Hei"/>
        <family val="2"/>
      </rPr>
      <t xml:space="preserve">아이템 옵션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붙을 수 있는 칸</t>
    </r>
    <r>
      <rPr>
        <sz val="11"/>
        <rFont val="맑은 고딕"/>
        <family val="0"/>
        <charset val="1"/>
      </rPr>
      <t xml:space="preserve">, </t>
    </r>
    <r>
      <rPr>
        <sz val="11"/>
        <rFont val="WenQuanYi Zen Hei"/>
        <family val="2"/>
      </rPr>
      <t xml:space="preserve">아이템 레벨 구간별 수치 범위</t>
    </r>
    <r>
      <rPr>
        <sz val="11"/>
        <rFont val="맑은 고딕"/>
        <family val="0"/>
        <charset val="1"/>
      </rPr>
      <t xml:space="preserve">. </t>
    </r>
    <r>
      <rPr>
        <sz val="11"/>
        <rFont val="WenQuanYi Zen Hei"/>
        <family val="2"/>
      </rPr>
      <t xml:space="preserve">게임으로 내보내는 시트</t>
    </r>
  </si>
  <si>
    <t xml:space="preserve">지역</t>
  </si>
  <si>
    <r>
      <rPr>
        <sz val="11"/>
        <rFont val="맑은 고딕"/>
        <family val="0"/>
        <charset val="1"/>
      </rPr>
      <t xml:space="preserve">1~3</t>
    </r>
    <r>
      <rPr>
        <sz val="11"/>
        <rFont val="WenQuanYi Zen Hei"/>
        <family val="2"/>
      </rPr>
      <t xml:space="preserve">막 지역 레벨</t>
    </r>
    <r>
      <rPr>
        <sz val="11"/>
        <rFont val="맑은 고딕"/>
        <family val="0"/>
        <charset val="1"/>
      </rPr>
      <t xml:space="preserve">, </t>
    </r>
    <r>
      <rPr>
        <sz val="11"/>
        <rFont val="WenQuanYi Zen Hei"/>
        <family val="2"/>
      </rPr>
      <t xml:space="preserve">귀신 최대 동시 등장 수</t>
    </r>
    <r>
      <rPr>
        <sz val="11"/>
        <rFont val="맑은 고딕"/>
        <family val="0"/>
        <charset val="1"/>
      </rPr>
      <t xml:space="preserve">, </t>
    </r>
    <r>
      <rPr>
        <sz val="11"/>
        <rFont val="WenQuanYi Zen Hei"/>
        <family val="2"/>
      </rPr>
      <t xml:space="preserve">귀문 균열 단계</t>
    </r>
    <r>
      <rPr>
        <sz val="11"/>
        <rFont val="맑은 고딕"/>
        <family val="0"/>
        <charset val="1"/>
      </rPr>
      <t xml:space="preserve">. </t>
    </r>
    <r>
      <rPr>
        <sz val="11"/>
        <rFont val="WenQuanYi Zen Hei"/>
        <family val="2"/>
      </rPr>
      <t xml:space="preserve">게임으로 내보내는 시트</t>
    </r>
  </si>
  <si>
    <t xml:space="preserve">전투시뮬</t>
  </si>
  <si>
    <r>
      <rPr>
        <sz val="11"/>
        <rFont val="WenQuanYi Zen Hei"/>
        <family val="2"/>
      </rPr>
      <t xml:space="preserve">레벨별 </t>
    </r>
    <r>
      <rPr>
        <sz val="11"/>
        <rFont val="맑은 고딕"/>
        <family val="0"/>
        <charset val="1"/>
      </rPr>
      <t xml:space="preserve">'</t>
    </r>
    <r>
      <rPr>
        <sz val="11"/>
        <rFont val="WenQuanYi Zen Hei"/>
        <family val="2"/>
      </rPr>
      <t xml:space="preserve">적 하나 잡는 시간</t>
    </r>
    <r>
      <rPr>
        <sz val="11"/>
        <rFont val="맑은 고딕"/>
        <family val="0"/>
        <charset val="1"/>
      </rPr>
      <t xml:space="preserve">'</t>
    </r>
    <r>
      <rPr>
        <sz val="11"/>
        <rFont val="WenQuanYi Zen Hei"/>
        <family val="2"/>
      </rPr>
      <t xml:space="preserve">과 </t>
    </r>
    <r>
      <rPr>
        <sz val="11"/>
        <rFont val="맑은 고딕"/>
        <family val="0"/>
        <charset val="1"/>
      </rPr>
      <t xml:space="preserve">'</t>
    </r>
    <r>
      <rPr>
        <sz val="11"/>
        <rFont val="WenQuanYi Zen Hei"/>
        <family val="2"/>
      </rPr>
      <t xml:space="preserve">몇 대 맞으면 죽는지</t>
    </r>
    <r>
      <rPr>
        <sz val="11"/>
        <rFont val="맑은 고딕"/>
        <family val="0"/>
        <charset val="1"/>
      </rPr>
      <t xml:space="preserve">'</t>
    </r>
    <r>
      <rPr>
        <sz val="11"/>
        <rFont val="WenQuanYi Zen Hei"/>
        <family val="2"/>
      </rPr>
      <t xml:space="preserve">를 계산하고 그래프로 보여 줌</t>
    </r>
    <r>
      <rPr>
        <sz val="11"/>
        <rFont val="맑은 고딕"/>
        <family val="0"/>
        <charset val="1"/>
      </rPr>
      <t xml:space="preserve">. </t>
    </r>
    <r>
      <rPr>
        <sz val="11"/>
        <rFont val="WenQuanYi Zen Hei"/>
        <family val="2"/>
      </rPr>
      <t xml:space="preserve">설계용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게임으로 내보내지 않음</t>
    </r>
    <r>
      <rPr>
        <sz val="11"/>
        <rFont val="맑은 고딕"/>
        <family val="0"/>
        <charset val="1"/>
      </rPr>
      <t xml:space="preserve">)</t>
    </r>
  </si>
  <si>
    <t xml:space="preserve">게임에 반영하는 방법</t>
  </si>
  <si>
    <r>
      <rPr>
        <sz val="11"/>
        <rFont val="맑은 고딕"/>
        <family val="0"/>
        <charset val="1"/>
      </rPr>
      <t xml:space="preserve">1. </t>
    </r>
    <r>
      <rPr>
        <sz val="11"/>
        <rFont val="WenQuanYi Zen Hei"/>
        <family val="2"/>
      </rPr>
      <t xml:space="preserve">이 엑셀에서 값 수정</t>
    </r>
  </si>
  <si>
    <r>
      <rPr>
        <sz val="11"/>
        <rFont val="WenQuanYi Zen Hei"/>
        <family val="2"/>
      </rPr>
      <t xml:space="preserve">파란 글자 칸만 고칩니다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</si>
  <si>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맑은 고딕"/>
        <family val="0"/>
        <charset val="1"/>
      </rPr>
      <t xml:space="preserve">2. CSV</t>
    </r>
    <r>
      <rPr>
        <sz val="11"/>
        <rFont val="WenQuanYi Zen Hei"/>
        <family val="2"/>
      </rPr>
      <t xml:space="preserve">로 저장</t>
    </r>
  </si>
  <si>
    <r>
      <rPr>
        <sz val="11"/>
        <rFont val="WenQuanYi Zen Hei"/>
        <family val="2"/>
      </rPr>
      <t xml:space="preserve">게임으로 내보내는 시트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상수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레벨표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귀신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옵션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지역</t>
    </r>
    <r>
      <rPr>
        <sz val="11"/>
        <rFont val="맑은 고딕"/>
        <family val="0"/>
        <charset val="1"/>
      </rPr>
      <t xml:space="preserve">)</t>
    </r>
    <r>
      <rPr>
        <sz val="11"/>
        <rFont val="WenQuanYi Zen Hei"/>
        <family val="2"/>
      </rPr>
      <t xml:space="preserve">를 각각 </t>
    </r>
    <r>
      <rPr>
        <sz val="11"/>
        <rFont val="맑은 고딕"/>
        <family val="0"/>
        <charset val="1"/>
      </rPr>
      <t xml:space="preserve">CSV(UTF-8)</t>
    </r>
    <r>
      <rPr>
        <sz val="11"/>
        <rFont val="WenQuanYi Zen Hei"/>
        <family val="2"/>
      </rPr>
      <t xml:space="preserve">로 저장 → </t>
    </r>
    <r>
      <rPr>
        <sz val="11"/>
        <rFont val="맑은 고딕"/>
        <family val="0"/>
        <charset val="1"/>
      </rPr>
      <t xml:space="preserve">Assets/Data/Balance/ </t>
    </r>
    <r>
      <rPr>
        <sz val="11"/>
        <rFont val="WenQuanYi Zen Hei"/>
        <family val="2"/>
      </rPr>
      <t xml:space="preserve">폴더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예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상수</t>
    </r>
    <r>
      <rPr>
        <sz val="11"/>
        <rFont val="맑은 고딕"/>
        <family val="0"/>
        <charset val="1"/>
      </rPr>
      <t xml:space="preserve">.csv)</t>
    </r>
  </si>
  <si>
    <r>
      <rPr>
        <sz val="11"/>
        <rFont val="맑은 고딕"/>
        <family val="0"/>
        <charset val="1"/>
      </rPr>
      <t xml:space="preserve">3. Unity</t>
    </r>
    <r>
      <rPr>
        <sz val="11"/>
        <rFont val="WenQuanYi Zen Hei"/>
        <family val="2"/>
      </rPr>
      <t xml:space="preserve">에서 불러오기</t>
    </r>
  </si>
  <si>
    <r>
      <rPr>
        <sz val="11"/>
        <rFont val="맑은 고딕"/>
        <family val="0"/>
        <charset val="1"/>
      </rPr>
      <t xml:space="preserve">Unity </t>
    </r>
    <r>
      <rPr>
        <sz val="11"/>
        <rFont val="WenQuanYi Zen Hei"/>
        <family val="2"/>
      </rPr>
      <t xml:space="preserve">메뉴 </t>
    </r>
    <r>
      <rPr>
        <sz val="11"/>
        <rFont val="맑은 고딕"/>
        <family val="0"/>
        <charset val="1"/>
      </rPr>
      <t xml:space="preserve">[</t>
    </r>
    <r>
      <rPr>
        <sz val="11"/>
        <rFont val="WenQuanYi Zen Hei"/>
        <family val="2"/>
      </rPr>
      <t xml:space="preserve">귀살 → 밸런스 불러오기</t>
    </r>
    <r>
      <rPr>
        <sz val="11"/>
        <rFont val="맑은 고딕"/>
        <family val="0"/>
        <charset val="1"/>
      </rPr>
      <t xml:space="preserve">] </t>
    </r>
    <r>
      <rPr>
        <sz val="11"/>
        <rFont val="WenQuanYi Zen Hei"/>
        <family val="2"/>
      </rPr>
      <t xml:space="preserve">버튼 → </t>
    </r>
    <r>
      <rPr>
        <sz val="11"/>
        <rFont val="맑은 고딕"/>
        <family val="0"/>
        <charset val="1"/>
      </rPr>
      <t xml:space="preserve">CSV</t>
    </r>
    <r>
      <rPr>
        <sz val="11"/>
        <rFont val="WenQuanYi Zen Hei"/>
        <family val="2"/>
      </rPr>
      <t xml:space="preserve">를 읽어 </t>
    </r>
    <r>
      <rPr>
        <sz val="11"/>
        <rFont val="맑은 고딕"/>
        <family val="0"/>
        <charset val="1"/>
      </rPr>
      <t xml:space="preserve">BalanceConfig </t>
    </r>
    <r>
      <rPr>
        <sz val="11"/>
        <rFont val="WenQuanYi Zen Hei"/>
        <family val="2"/>
      </rPr>
      <t xml:space="preserve">등 데이터에 자동 반영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백로그 </t>
    </r>
    <r>
      <rPr>
        <sz val="11"/>
        <rFont val="맑은 고딕"/>
        <family val="0"/>
        <charset val="1"/>
      </rPr>
      <t xml:space="preserve">S6</t>
    </r>
    <r>
      <rPr>
        <sz val="11"/>
        <rFont val="WenQuanYi Zen Hei"/>
        <family val="2"/>
      </rPr>
      <t xml:space="preserve">에서 만들 기능</t>
    </r>
    <r>
      <rPr>
        <sz val="11"/>
        <rFont val="맑은 고딕"/>
        <family val="0"/>
        <charset val="1"/>
      </rPr>
      <t xml:space="preserve">)</t>
    </r>
  </si>
  <si>
    <r>
      <rPr>
        <sz val="11"/>
        <rFont val="맑은 고딕"/>
        <family val="0"/>
        <charset val="1"/>
      </rPr>
      <t xml:space="preserve">4. </t>
    </r>
    <r>
      <rPr>
        <sz val="11"/>
        <rFont val="WenQuanYi Zen Hei"/>
        <family val="2"/>
      </rPr>
      <t xml:space="preserve">플레이로 확인</t>
    </r>
  </si>
  <si>
    <r>
      <rPr>
        <sz val="11"/>
        <rFont val="WenQuanYi Zen Hei"/>
        <family val="2"/>
      </rPr>
      <t xml:space="preserve">개발자 </t>
    </r>
    <r>
      <rPr>
        <sz val="11"/>
        <rFont val="맑은 고딕"/>
        <family val="0"/>
        <charset val="1"/>
      </rPr>
      <t xml:space="preserve">UI(F1)</t>
    </r>
    <r>
      <rPr>
        <sz val="11"/>
        <rFont val="WenQuanYi Zen Hei"/>
        <family val="2"/>
      </rPr>
      <t xml:space="preserve">로 레벨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귀신</t>
    </r>
    <r>
      <rPr>
        <sz val="11"/>
        <rFont val="맑은 고딕"/>
        <family val="0"/>
        <charset val="1"/>
      </rPr>
      <t xml:space="preserve">·</t>
    </r>
    <r>
      <rPr>
        <sz val="11"/>
        <rFont val="WenQuanYi Zen Hei"/>
        <family val="2"/>
      </rPr>
      <t xml:space="preserve">아이템을 바꿔 가며 체감 확인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백로그 </t>
    </r>
    <r>
      <rPr>
        <sz val="11"/>
        <rFont val="맑은 고딕"/>
        <family val="0"/>
        <charset val="1"/>
      </rPr>
      <t xml:space="preserve">S1~S2</t>
    </r>
    <r>
      <rPr>
        <sz val="11"/>
        <rFont val="WenQuanYi Zen Hei"/>
        <family val="2"/>
      </rPr>
      <t xml:space="preserve">에서 만들 기능</t>
    </r>
    <r>
      <rPr>
        <sz val="11"/>
        <rFont val="맑은 고딕"/>
        <family val="0"/>
        <charset val="1"/>
      </rPr>
      <t xml:space="preserve">)</t>
    </r>
  </si>
  <si>
    <t xml:space="preserve">주의</t>
  </si>
  <si>
    <r>
      <rPr>
        <sz val="11"/>
        <rFont val="WenQuanYi Zen Hei"/>
        <family val="2"/>
      </rPr>
      <t xml:space="preserve">게임으로 내보내는 시트는 </t>
    </r>
    <r>
      <rPr>
        <sz val="11"/>
        <rFont val="맑은 고딕"/>
        <family val="0"/>
        <charset val="1"/>
      </rPr>
      <t xml:space="preserve">1</t>
    </r>
    <r>
      <rPr>
        <sz val="11"/>
        <rFont val="WenQuanYi Zen Hei"/>
        <family val="2"/>
      </rPr>
      <t xml:space="preserve">행이 머리글</t>
    </r>
    <r>
      <rPr>
        <sz val="11"/>
        <rFont val="맑은 고딕"/>
        <family val="0"/>
        <charset val="1"/>
      </rPr>
      <t xml:space="preserve">, 2</t>
    </r>
    <r>
      <rPr>
        <sz val="11"/>
        <rFont val="WenQuanYi Zen Hei"/>
        <family val="2"/>
      </rPr>
      <t xml:space="preserve">행부터 데이터입니다</t>
    </r>
    <r>
      <rPr>
        <sz val="11"/>
        <rFont val="맑은 고딕"/>
        <family val="0"/>
        <charset val="1"/>
      </rPr>
      <t xml:space="preserve">. </t>
    </r>
    <r>
      <rPr>
        <sz val="11"/>
        <rFont val="WenQuanYi Zen Hei"/>
        <family val="2"/>
      </rPr>
      <t xml:space="preserve">행 위에 설명을 넣지 말고</t>
    </r>
    <r>
      <rPr>
        <sz val="11"/>
        <rFont val="맑은 고딕"/>
        <family val="0"/>
        <charset val="1"/>
      </rPr>
      <t xml:space="preserve">, </t>
    </r>
    <r>
      <rPr>
        <sz val="11"/>
        <rFont val="WenQuanYi Zen Hei"/>
        <family val="2"/>
      </rPr>
      <t xml:space="preserve">열 이름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머리글</t>
    </r>
    <r>
      <rPr>
        <sz val="11"/>
        <rFont val="맑은 고딕"/>
        <family val="0"/>
        <charset val="1"/>
      </rPr>
      <t xml:space="preserve">)</t>
    </r>
    <r>
      <rPr>
        <sz val="11"/>
        <rFont val="WenQuanYi Zen Hei"/>
        <family val="2"/>
      </rPr>
      <t xml:space="preserve">은 바꾸지 마세요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불러오기 기능이 열 이름으로 값을 찾음</t>
    </r>
    <r>
      <rPr>
        <sz val="11"/>
        <rFont val="맑은 고딕"/>
        <family val="0"/>
        <charset val="1"/>
      </rPr>
      <t xml:space="preserve">). </t>
    </r>
    <r>
      <rPr>
        <sz val="11"/>
        <rFont val="WenQuanYi Zen Hei"/>
        <family val="2"/>
      </rPr>
      <t xml:space="preserve">설명은 이 시트나 셀 메모에 씁니다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</si>
  <si>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퍼센트는 </t>
    </r>
    <r>
      <rPr>
        <sz val="11"/>
        <rFont val="맑은 고딕"/>
        <family val="0"/>
        <charset val="1"/>
      </rPr>
      <t xml:space="preserve">0.15 = 15% </t>
    </r>
    <r>
      <rPr>
        <sz val="11"/>
        <rFont val="WenQuanYi Zen Hei"/>
        <family val="2"/>
      </rPr>
      <t xml:space="preserve">처럼 소수로 저장됩니다</t>
    </r>
    <r>
      <rPr>
        <sz val="11"/>
        <rFont val="맑은 고딕"/>
        <family val="0"/>
        <charset val="1"/>
      </rPr>
      <t xml:space="preserve">.</t>
    </r>
  </si>
  <si>
    <t xml:space="preserve">키</t>
  </si>
  <si>
    <t xml:space="preserve">값</t>
  </si>
  <si>
    <t xml:space="preserve">단위</t>
  </si>
  <si>
    <t xml:space="preserve">설명</t>
  </si>
  <si>
    <t xml:space="preserve">MonsterLevelGrowth</t>
  </si>
  <si>
    <t xml:space="preserve">배</t>
  </si>
  <si>
    <r>
      <rPr>
        <sz val="11"/>
        <color rgb="FF000000"/>
        <rFont val="WenQuanYi Zen Hei"/>
        <family val="2"/>
      </rPr>
      <t xml:space="preserve">몬스터 체력 레벨 배율 </t>
    </r>
    <r>
      <rPr>
        <sz val="11"/>
        <color rgb="FF000000"/>
        <rFont val="맑은 고딕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이 값 </t>
    </r>
    <r>
      <rPr>
        <sz val="11"/>
        <color rgb="FF000000"/>
        <rFont val="맑은 고딕"/>
        <family val="0"/>
        <charset val="1"/>
      </rPr>
      <t xml:space="preserve">^ (</t>
    </r>
    <r>
      <rPr>
        <sz val="11"/>
        <color rgb="FF000000"/>
        <rFont val="WenQuanYi Zen Hei"/>
        <family val="2"/>
      </rPr>
      <t xml:space="preserve">몬스터 레벨 − </t>
    </r>
    <r>
      <rPr>
        <sz val="11"/>
        <color rgb="FF000000"/>
        <rFont val="맑은 고딕"/>
        <family val="0"/>
        <charset val="1"/>
      </rPr>
      <t xml:space="preserve">1)</t>
    </r>
  </si>
  <si>
    <t xml:space="preserve">MonsterDamageGrowth</t>
  </si>
  <si>
    <r>
      <rPr>
        <sz val="11"/>
        <color rgb="FF000000"/>
        <rFont val="WenQuanYi Zen Hei"/>
        <family val="2"/>
      </rPr>
      <t xml:space="preserve">몬스터 피해 레벨 배율 </t>
    </r>
    <r>
      <rPr>
        <sz val="11"/>
        <color rgb="FF000000"/>
        <rFont val="맑은 고딕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이 값 </t>
    </r>
    <r>
      <rPr>
        <sz val="11"/>
        <color rgb="FF000000"/>
        <rFont val="맑은 고딕"/>
        <family val="0"/>
        <charset val="1"/>
      </rPr>
      <t xml:space="preserve">^ (</t>
    </r>
    <r>
      <rPr>
        <sz val="11"/>
        <color rgb="FF000000"/>
        <rFont val="WenQuanYi Zen Hei"/>
        <family val="2"/>
      </rPr>
      <t xml:space="preserve">몬스터 레벨 − </t>
    </r>
    <r>
      <rPr>
        <sz val="11"/>
        <color rgb="FF000000"/>
        <rFont val="맑은 고딕"/>
        <family val="0"/>
        <charset val="1"/>
      </rPr>
      <t xml:space="preserve">1). </t>
    </r>
    <r>
      <rPr>
        <sz val="11"/>
        <color rgb="FF000000"/>
        <rFont val="WenQuanYi Zen Hei"/>
        <family val="2"/>
      </rPr>
      <t xml:space="preserve">체력 성장보다 낮게 두어 후반 생존력 유지</t>
    </r>
  </si>
  <si>
    <t xml:space="preserve">ArmorPerEnemyLevel</t>
  </si>
  <si>
    <r>
      <rPr>
        <sz val="11"/>
        <color rgb="FF000000"/>
        <rFont val="WenQuanYi Zen Hei"/>
        <family val="2"/>
      </rPr>
      <t xml:space="preserve">물리 피해 감소 </t>
    </r>
    <r>
      <rPr>
        <sz val="11"/>
        <color rgb="FF000000"/>
        <rFont val="맑은 고딕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방어력 </t>
    </r>
    <r>
      <rPr>
        <sz val="11"/>
        <color rgb="FF000000"/>
        <rFont val="맑은 고딕"/>
        <family val="0"/>
        <charset val="1"/>
      </rPr>
      <t xml:space="preserve">÷ (</t>
    </r>
    <r>
      <rPr>
        <sz val="11"/>
        <color rgb="FF000000"/>
        <rFont val="WenQuanYi Zen Hei"/>
        <family val="2"/>
      </rPr>
      <t xml:space="preserve">방어력 </t>
    </r>
    <r>
      <rPr>
        <sz val="11"/>
        <color rgb="FF000000"/>
        <rFont val="맑은 고딕"/>
        <family val="0"/>
        <charset val="1"/>
      </rPr>
      <t xml:space="preserve">+ </t>
    </r>
    <r>
      <rPr>
        <sz val="11"/>
        <color rgb="FF000000"/>
        <rFont val="WenQuanYi Zen Hei"/>
        <family val="2"/>
      </rPr>
      <t xml:space="preserve">이 값 </t>
    </r>
    <r>
      <rPr>
        <sz val="11"/>
        <color rgb="FF000000"/>
        <rFont val="맑은 고딕"/>
        <family val="0"/>
        <charset val="1"/>
      </rPr>
      <t xml:space="preserve">× </t>
    </r>
    <r>
      <rPr>
        <sz val="11"/>
        <color rgb="FF000000"/>
        <rFont val="WenQuanYi Zen Hei"/>
        <family val="2"/>
      </rPr>
      <t xml:space="preserve">적 레벨 </t>
    </r>
    <r>
      <rPr>
        <sz val="11"/>
        <color rgb="FF000000"/>
        <rFont val="맑은 고딕"/>
        <family val="0"/>
        <charset val="1"/>
      </rPr>
      <t xml:space="preserve">+ ArmorFlat)</t>
    </r>
  </si>
  <si>
    <t xml:space="preserve">ArmorFlat</t>
  </si>
  <si>
    <t xml:space="preserve">위 식의 고정값</t>
  </si>
  <si>
    <t xml:space="preserve">ArmorReductionCap</t>
  </si>
  <si>
    <t xml:space="preserve">%</t>
  </si>
  <si>
    <t xml:space="preserve">물리 피해 감소 상한</t>
  </si>
  <si>
    <t xml:space="preserve">ResistCap</t>
  </si>
  <si>
    <t xml:space="preserve">저항 기본 상한</t>
  </si>
  <si>
    <t xml:space="preserve">ResistCapMax</t>
  </si>
  <si>
    <r>
      <rPr>
        <sz val="11"/>
        <color rgb="FF000000"/>
        <rFont val="맑은 고딕"/>
        <family val="0"/>
        <charset val="1"/>
      </rPr>
      <t xml:space="preserve">"</t>
    </r>
    <r>
      <rPr>
        <sz val="11"/>
        <color rgb="FF000000"/>
        <rFont val="WenQuanYi Zen Hei"/>
        <family val="2"/>
      </rPr>
      <t xml:space="preserve">최대 저항 </t>
    </r>
    <r>
      <rPr>
        <sz val="11"/>
        <color rgb="FF000000"/>
        <rFont val="맑은 고딕"/>
        <family val="0"/>
        <charset val="1"/>
      </rPr>
      <t xml:space="preserve">+%" </t>
    </r>
    <r>
      <rPr>
        <sz val="11"/>
        <color rgb="FF000000"/>
        <rFont val="WenQuanYi Zen Hei"/>
        <family val="2"/>
      </rPr>
      <t xml:space="preserve">옵션으로 올릴 수 있는 최대 상한</t>
    </r>
  </si>
  <si>
    <t xml:space="preserve">DamageReductionCap</t>
  </si>
  <si>
    <r>
      <rPr>
        <sz val="11"/>
        <color rgb="FF000000"/>
        <rFont val="WenQuanYi Zen Hei"/>
        <family val="2"/>
      </rPr>
      <t xml:space="preserve">피해 감소 </t>
    </r>
    <r>
      <rPr>
        <sz val="11"/>
        <color rgb="FF000000"/>
        <rFont val="맑은 고딕"/>
        <family val="0"/>
        <charset val="1"/>
      </rPr>
      <t xml:space="preserve">% (</t>
    </r>
    <r>
      <rPr>
        <sz val="11"/>
        <color rgb="FF000000"/>
        <rFont val="WenQuanYi Zen Hei"/>
        <family val="2"/>
      </rPr>
      <t xml:space="preserve">모든 피해</t>
    </r>
    <r>
      <rPr>
        <sz val="11"/>
        <color rgb="FF000000"/>
        <rFont val="맑은 고딕"/>
        <family val="0"/>
        <charset val="1"/>
      </rPr>
      <t xml:space="preserve">) </t>
    </r>
    <r>
      <rPr>
        <sz val="11"/>
        <color rgb="FF000000"/>
        <rFont val="WenQuanYi Zen Hei"/>
        <family val="2"/>
      </rPr>
      <t xml:space="preserve">상한</t>
    </r>
  </si>
  <si>
    <t xml:space="preserve">BaseCritChance</t>
  </si>
  <si>
    <t xml:space="preserve">기본 치명타 확률</t>
  </si>
  <si>
    <t xml:space="preserve">BaseCritDamage</t>
  </si>
  <si>
    <r>
      <rPr>
        <sz val="11"/>
        <color rgb="FF000000"/>
        <rFont val="WenQuanYi Zen Hei"/>
        <family val="2"/>
      </rPr>
      <t xml:space="preserve">기본 치명타 피해 </t>
    </r>
    <r>
      <rPr>
        <sz val="11"/>
        <color rgb="FF000000"/>
        <rFont val="맑은 고딕"/>
        <family val="0"/>
        <charset val="1"/>
      </rPr>
      <t xml:space="preserve">(+50% = ×1.5)</t>
    </r>
  </si>
  <si>
    <t xml:space="preserve">CritChanceCap</t>
  </si>
  <si>
    <t xml:space="preserve">치명타 확률 상한</t>
  </si>
  <si>
    <t xml:space="preserve">AttackSpeedCap</t>
  </si>
  <si>
    <r>
      <rPr>
        <sz val="11"/>
        <color rgb="FF000000"/>
        <rFont val="WenQuanYi Zen Hei"/>
        <family val="2"/>
      </rPr>
      <t xml:space="preserve">공격 속도 상한 </t>
    </r>
    <r>
      <rPr>
        <sz val="11"/>
        <color rgb="FF000000"/>
        <rFont val="맑은 고딕"/>
        <family val="0"/>
        <charset val="1"/>
      </rPr>
      <t xml:space="preserve">(+100%)</t>
    </r>
  </si>
  <si>
    <t xml:space="preserve">CooldownReductionCap</t>
  </si>
  <si>
    <t xml:space="preserve">쿨타임 감소 상한</t>
  </si>
  <si>
    <t xml:space="preserve">ResourceCostReductionCap</t>
  </si>
  <si>
    <t xml:space="preserve">기력 소모 감소 상한</t>
  </si>
  <si>
    <t xml:space="preserve">MoveSpeedCap</t>
  </si>
  <si>
    <t xml:space="preserve">이동 속도 상한</t>
  </si>
  <si>
    <t xml:space="preserve">LevelGapPenaltyPerLevel</t>
  </si>
  <si>
    <r>
      <rPr>
        <sz val="11"/>
        <color rgb="FF000000"/>
        <rFont val="WenQuanYi Zen Hei"/>
        <family val="2"/>
      </rPr>
      <t xml:space="preserve">적이 플레이어보다 높을 때 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레벨당 주는 피해 감소</t>
    </r>
  </si>
  <si>
    <t xml:space="preserve">LevelGapPenaltyMax</t>
  </si>
  <si>
    <t xml:space="preserve">위 감소의 최대치</t>
  </si>
  <si>
    <t xml:space="preserve">BaseHealth</t>
  </si>
  <si>
    <t xml:space="preserve">플레이어 기본 최대 체력</t>
  </si>
  <si>
    <t xml:space="preserve">HealthPerLevel</t>
  </si>
  <si>
    <t xml:space="preserve">레벨당 최대 체력</t>
  </si>
  <si>
    <t xml:space="preserve">BaseResource</t>
  </si>
  <si>
    <t xml:space="preserve">플레이어 기본 최대 기력</t>
  </si>
  <si>
    <t xml:space="preserve">ResourcePerLevel</t>
  </si>
  <si>
    <t xml:space="preserve">레벨당 최대 기력</t>
  </si>
  <si>
    <t xml:space="preserve">ResourceRegen</t>
  </si>
  <si>
    <r>
      <rPr>
        <sz val="11"/>
        <color rgb="FF000000"/>
        <rFont val="맑은 고딕"/>
        <family val="0"/>
        <charset val="1"/>
      </rPr>
      <t xml:space="preserve">/</t>
    </r>
    <r>
      <rPr>
        <sz val="11"/>
        <color rgb="FF000000"/>
        <rFont val="WenQuanYi Zen Hei"/>
        <family val="2"/>
      </rPr>
      <t xml:space="preserve">초</t>
    </r>
  </si>
  <si>
    <t xml:space="preserve">기력 자연 회복</t>
  </si>
  <si>
    <t xml:space="preserve">UnarmedMinDamage</t>
  </si>
  <si>
    <t xml:space="preserve">맨손 최소 피해</t>
  </si>
  <si>
    <t xml:space="preserve">UnarmedMaxDamage</t>
  </si>
  <si>
    <t xml:space="preserve">맨손 최대 피해</t>
  </si>
  <si>
    <t xml:space="preserve">EliteHealthMult</t>
  </si>
  <si>
    <t xml:space="preserve">정예 체력 배율</t>
  </si>
  <si>
    <t xml:space="preserve">EliteDamageMult</t>
  </si>
  <si>
    <t xml:space="preserve">정예 피해 배율</t>
  </si>
  <si>
    <t xml:space="preserve">EliteLevelBonus</t>
  </si>
  <si>
    <t xml:space="preserve">레벨</t>
  </si>
  <si>
    <r>
      <rPr>
        <sz val="11"/>
        <color rgb="FF000000"/>
        <rFont val="WenQuanYi Zen Hei"/>
        <family val="2"/>
      </rPr>
      <t xml:space="preserve">정예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이름 있는 정예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금 도깨비 몬스터 레벨 보너스</t>
    </r>
  </si>
  <si>
    <t xml:space="preserve">BossLevelBonus</t>
  </si>
  <si>
    <r>
      <rPr>
        <sz val="11"/>
        <color rgb="FF000000"/>
        <rFont val="WenQuanYi Zen Hei"/>
        <family val="2"/>
      </rPr>
      <t xml:space="preserve">보스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중간 보스 몬스터 레벨 보너스</t>
    </r>
  </si>
  <si>
    <t xml:space="preserve">MagicFindHalfPoint</t>
  </si>
  <si>
    <r>
      <rPr>
        <sz val="11"/>
        <color rgb="FF000000"/>
        <rFont val="WenQuanYi Zen Hei"/>
        <family val="2"/>
      </rPr>
      <t xml:space="preserve">아이템 발견 실제 효과 </t>
    </r>
    <r>
      <rPr>
        <sz val="11"/>
        <color rgb="FF000000"/>
        <rFont val="맑은 고딕"/>
        <family val="0"/>
        <charset val="1"/>
      </rPr>
      <t xml:space="preserve">= MF × </t>
    </r>
    <r>
      <rPr>
        <sz val="11"/>
        <color rgb="FF000000"/>
        <rFont val="WenQuanYi Zen Hei"/>
        <family val="2"/>
      </rPr>
      <t xml:space="preserve">이 값 </t>
    </r>
    <r>
      <rPr>
        <sz val="11"/>
        <color rgb="FF000000"/>
        <rFont val="맑은 고딕"/>
        <family val="0"/>
        <charset val="1"/>
      </rPr>
      <t xml:space="preserve">÷ (MF + </t>
    </r>
    <r>
      <rPr>
        <sz val="11"/>
        <color rgb="FF000000"/>
        <rFont val="WenQuanYi Zen Hei"/>
        <family val="2"/>
      </rPr>
      <t xml:space="preserve">이 값</t>
    </r>
    <r>
      <rPr>
        <sz val="11"/>
        <color rgb="FF000000"/>
        <rFont val="맑은 고딕"/>
        <family val="0"/>
        <charset val="1"/>
      </rPr>
      <t xml:space="preserve">)</t>
    </r>
  </si>
  <si>
    <t xml:space="preserve">ExpBase</t>
  </si>
  <si>
    <r>
      <rPr>
        <sz val="11"/>
        <color rgb="FF000000"/>
        <rFont val="WenQuanYi Zen Hei"/>
        <family val="2"/>
      </rPr>
      <t xml:space="preserve">다음 레벨 필요 경험치 </t>
    </r>
    <r>
      <rPr>
        <sz val="11"/>
        <color rgb="FF000000"/>
        <rFont val="맑은 고딕"/>
        <family val="0"/>
        <charset val="1"/>
      </rPr>
      <t xml:space="preserve">= ExpBase × </t>
    </r>
    <r>
      <rPr>
        <sz val="11"/>
        <color rgb="FF000000"/>
        <rFont val="WenQuanYi Zen Hei"/>
        <family val="2"/>
      </rPr>
      <t xml:space="preserve">레벨 </t>
    </r>
    <r>
      <rPr>
        <sz val="11"/>
        <color rgb="FF000000"/>
        <rFont val="맑은 고딕"/>
        <family val="0"/>
        <charset val="1"/>
      </rPr>
      <t xml:space="preserve">^ ExpExponent</t>
    </r>
  </si>
  <si>
    <t xml:space="preserve">ExpExponent</t>
  </si>
  <si>
    <t xml:space="preserve">경험치 곡선 지수</t>
  </si>
  <si>
    <t xml:space="preserve">ExpLowLevelGap</t>
  </si>
  <si>
    <t xml:space="preserve">플레이어보다 이만큼 이상 낮은 귀신은 경험치 크게 감소</t>
  </si>
  <si>
    <t xml:space="preserve">ExpLowLevelMult</t>
  </si>
  <si>
    <t xml:space="preserve">위 경우의 경험치 배율</t>
  </si>
  <si>
    <t xml:space="preserve">MaxPlayerLevel</t>
  </si>
  <si>
    <t xml:space="preserve">최대 플레이어 레벨</t>
  </si>
  <si>
    <t xml:space="preserve">RiftAreaLevelBase</t>
  </si>
  <si>
    <r>
      <rPr>
        <sz val="11"/>
        <color rgb="FF000000"/>
        <rFont val="WenQuanYi Zen Hei"/>
        <family val="2"/>
      </rPr>
      <t xml:space="preserve">귀문 균열 지역 레벨 </t>
    </r>
    <r>
      <rPr>
        <sz val="11"/>
        <color rgb="FF000000"/>
        <rFont val="맑은 고딕"/>
        <family val="0"/>
        <charset val="1"/>
      </rPr>
      <t xml:space="preserve">= </t>
    </r>
    <r>
      <rPr>
        <sz val="11"/>
        <color rgb="FF000000"/>
        <rFont val="WenQuanYi Zen Hei"/>
        <family val="2"/>
      </rPr>
      <t xml:space="preserve">이 값 </t>
    </r>
    <r>
      <rPr>
        <sz val="11"/>
        <color rgb="FF000000"/>
        <rFont val="맑은 고딕"/>
        <family val="0"/>
        <charset val="1"/>
      </rPr>
      <t xml:space="preserve">+ RiftAreaLevelPerTier × </t>
    </r>
    <r>
      <rPr>
        <sz val="11"/>
        <color rgb="FF000000"/>
        <rFont val="WenQuanYi Zen Hei"/>
        <family val="2"/>
      </rPr>
      <t xml:space="preserve">단계</t>
    </r>
  </si>
  <si>
    <t xml:space="preserve">RiftAreaLevelPerTier</t>
  </si>
  <si>
    <t xml:space="preserve">위 식의 단계당 증가</t>
  </si>
  <si>
    <t xml:space="preserve">Level</t>
  </si>
  <si>
    <t xml:space="preserve">MonsterMult</t>
  </si>
  <si>
    <t xml:space="preserve">MonsterDamageMult</t>
  </si>
  <si>
    <t xml:space="preserve">PlayerHealth</t>
  </si>
  <si>
    <t xml:space="preserve">PlayerResource</t>
  </si>
  <si>
    <t xml:space="preserve">ExpToNext</t>
  </si>
  <si>
    <t xml:space="preserve">ExpTotal</t>
  </si>
  <si>
    <t xml:space="preserve">ArmorFor50pct</t>
  </si>
  <si>
    <t xml:space="preserve">Id</t>
  </si>
  <si>
    <t xml:space="preserve">Name</t>
  </si>
  <si>
    <t xml:space="preserve">Family</t>
  </si>
  <si>
    <t xml:space="preserve">Act</t>
  </si>
  <si>
    <t xml:space="preserve">Role</t>
  </si>
  <si>
    <t xml:space="preserve">BaseDamage</t>
  </si>
  <si>
    <t xml:space="preserve">AttackInterval</t>
  </si>
  <si>
    <t xml:space="preserve">DamageType</t>
  </si>
  <si>
    <t xml:space="preserve">Armor</t>
  </si>
  <si>
    <t xml:space="preserve">ResFire</t>
  </si>
  <si>
    <t xml:space="preserve">ResWater</t>
  </si>
  <si>
    <t xml:space="preserve">ResPoison</t>
  </si>
  <si>
    <t xml:space="preserve">ResYin</t>
  </si>
  <si>
    <t xml:space="preserve">MoveSpeed</t>
  </si>
  <si>
    <t xml:space="preserve">BaseExp</t>
  </si>
  <si>
    <t xml:space="preserve">Note</t>
  </si>
  <si>
    <t xml:space="preserve">mangja</t>
  </si>
  <si>
    <t xml:space="preserve">망자</t>
  </si>
  <si>
    <t xml:space="preserve">기본 근접</t>
  </si>
  <si>
    <t xml:space="preserve">Physical</t>
  </si>
  <si>
    <r>
      <rPr>
        <sz val="11"/>
        <color rgb="FF000000"/>
        <rFont val="WenQuanYi Zen Hei"/>
        <family val="2"/>
      </rPr>
      <t xml:space="preserve">지금 게임의 적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체력 </t>
    </r>
    <r>
      <rPr>
        <sz val="11"/>
        <color rgb="FF000000"/>
        <rFont val="맑은 고딕"/>
        <family val="0"/>
        <charset val="1"/>
      </rPr>
      <t xml:space="preserve">30, </t>
    </r>
    <r>
      <rPr>
        <sz val="11"/>
        <color rgb="FF000000"/>
        <rFont val="WenQuanYi Zen Hei"/>
        <family val="2"/>
      </rPr>
      <t xml:space="preserve">공격력 </t>
    </r>
    <r>
      <rPr>
        <sz val="11"/>
        <color rgb="FF000000"/>
        <rFont val="맑은 고딕"/>
        <family val="0"/>
        <charset val="1"/>
      </rPr>
      <t xml:space="preserve">5, </t>
    </r>
    <r>
      <rPr>
        <sz val="11"/>
        <color rgb="FF000000"/>
        <rFont val="WenQuanYi Zen Hei"/>
        <family val="2"/>
      </rPr>
      <t xml:space="preserve">쿨타임 </t>
    </r>
    <r>
      <rPr>
        <sz val="11"/>
        <color rgb="FF000000"/>
        <rFont val="맑은 고딕"/>
        <family val="0"/>
        <charset val="1"/>
      </rPr>
      <t xml:space="preserve">1.5</t>
    </r>
    <r>
      <rPr>
        <sz val="11"/>
        <color rgb="FF000000"/>
        <rFont val="WenQuanYi Zen Hei"/>
        <family val="2"/>
      </rPr>
      <t xml:space="preserve">초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경험치 </t>
    </r>
    <r>
      <rPr>
        <sz val="11"/>
        <color rgb="FF000000"/>
        <rFont val="맑은 고딕"/>
        <family val="0"/>
        <charset val="1"/>
      </rPr>
      <t xml:space="preserve">50)</t>
    </r>
  </si>
  <si>
    <t xml:space="preserve">mangja_starved</t>
  </si>
  <si>
    <t xml:space="preserve">굶어 죽은 망자</t>
  </si>
  <si>
    <t xml:space="preserve">빠른 근접</t>
  </si>
  <si>
    <t xml:space="preserve">mangja_plague</t>
  </si>
  <si>
    <t xml:space="preserve">역병 망자</t>
  </si>
  <si>
    <r>
      <rPr>
        <sz val="11"/>
        <color rgb="FF000000"/>
        <rFont val="WenQuanYi Zen Hei"/>
        <family val="2"/>
      </rPr>
      <t xml:space="preserve">근접 </t>
    </r>
    <r>
      <rPr>
        <sz val="11"/>
        <color rgb="FF000000"/>
        <rFont val="맑은 고딕"/>
        <family val="0"/>
        <charset val="1"/>
      </rPr>
      <t xml:space="preserve">+ </t>
    </r>
    <r>
      <rPr>
        <sz val="11"/>
        <color rgb="FF000000"/>
        <rFont val="WenQuanYi Zen Hei"/>
        <family val="2"/>
      </rPr>
      <t xml:space="preserve">독 장판</t>
    </r>
  </si>
  <si>
    <t xml:space="preserve">Poison</t>
  </si>
  <si>
    <t xml:space="preserve">죽으면 독 장판</t>
  </si>
  <si>
    <t xml:space="preserve">changgwi</t>
  </si>
  <si>
    <t xml:space="preserve">창귀</t>
  </si>
  <si>
    <t xml:space="preserve">빠른 떼거리</t>
  </si>
  <si>
    <t xml:space="preserve">발견 시 주변 창귀 호출</t>
  </si>
  <si>
    <t xml:space="preserve">dokkaebibul</t>
  </si>
  <si>
    <t xml:space="preserve">도깨비불</t>
  </si>
  <si>
    <t xml:space="preserve">원거리</t>
  </si>
  <si>
    <t xml:space="preserve">Fire</t>
  </si>
  <si>
    <r>
      <rPr>
        <sz val="11"/>
        <color rgb="FF000000"/>
        <rFont val="WenQuanYi Zen Hei"/>
        <family val="2"/>
      </rPr>
      <t xml:space="preserve">거리 유지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다가가면 도망</t>
    </r>
  </si>
  <si>
    <t xml:space="preserve">dueoksini</t>
  </si>
  <si>
    <t xml:space="preserve">두억시니</t>
  </si>
  <si>
    <t xml:space="preserve">탱커</t>
  </si>
  <si>
    <t xml:space="preserve">범위 표시 후 내려찍기</t>
  </si>
  <si>
    <t xml:space="preserve">seogin</t>
  </si>
  <si>
    <t xml:space="preserve">석인</t>
  </si>
  <si>
    <t xml:space="preserve">느리고 단단함</t>
  </si>
  <si>
    <t xml:space="preserve">eodukshini</t>
  </si>
  <si>
    <t xml:space="preserve">어둑시니</t>
  </si>
  <si>
    <r>
      <rPr>
        <sz val="11"/>
        <color rgb="FF000000"/>
        <rFont val="WenQuanYi Zen Hei"/>
        <family val="2"/>
      </rPr>
      <t xml:space="preserve">정예 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커짐</t>
    </r>
    <r>
      <rPr>
        <sz val="11"/>
        <color rgb="FF000000"/>
        <rFont val="맑은 고딕"/>
        <family val="0"/>
        <charset val="1"/>
      </rPr>
      <t xml:space="preserve">)</t>
    </r>
  </si>
  <si>
    <t xml:space="preserve">Yin</t>
  </si>
  <si>
    <t xml:space="preserve">살아 있을수록 커지고 강해짐</t>
  </si>
  <si>
    <t xml:space="preserve">sangun</t>
  </si>
  <si>
    <t xml:space="preserve">산군</t>
  </si>
  <si>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막 보스</t>
    </r>
  </si>
  <si>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페이즈</t>
    </r>
    <r>
      <rPr>
        <sz val="11"/>
        <color rgb="FF000000"/>
        <rFont val="맑은 고딕"/>
        <family val="0"/>
        <charset val="1"/>
      </rPr>
      <t xml:space="preserve">: </t>
    </r>
    <r>
      <rPr>
        <sz val="11"/>
        <color rgb="FF000000"/>
        <rFont val="WenQuanYi Zen Hei"/>
        <family val="2"/>
      </rPr>
      <t xml:space="preserve">창귀를 삼켜 회복</t>
    </r>
  </si>
  <si>
    <t xml:space="preserve">StatType</t>
  </si>
  <si>
    <t xml:space="preserve">ModKind</t>
  </si>
  <si>
    <t xml:space="preserve">MinItemLevel</t>
  </si>
  <si>
    <t xml:space="preserve">T1Min</t>
  </si>
  <si>
    <t xml:space="preserve">T1Max</t>
  </si>
  <si>
    <t xml:space="preserve">T2Min</t>
  </si>
  <si>
    <t xml:space="preserve">T2Max</t>
  </si>
  <si>
    <t xml:space="preserve">T3Min</t>
  </si>
  <si>
    <t xml:space="preserve">T3Max</t>
  </si>
  <si>
    <t xml:space="preserve">MainHand</t>
  </si>
  <si>
    <t xml:space="preserve">OffHand</t>
  </si>
  <si>
    <t xml:space="preserve">Head</t>
  </si>
  <si>
    <t xml:space="preserve">Chest</t>
  </si>
  <si>
    <t xml:space="preserve">Hands</t>
  </si>
  <si>
    <t xml:space="preserve">Waist</t>
  </si>
  <si>
    <t xml:space="preserve">Feet</t>
  </si>
  <si>
    <t xml:space="preserve">Neck</t>
  </si>
  <si>
    <t xml:space="preserve">Ring</t>
  </si>
  <si>
    <t xml:space="preserve">max_health</t>
  </si>
  <si>
    <t xml:space="preserve">최대 체력</t>
  </si>
  <si>
    <t xml:space="preserve">MaxHealth</t>
  </si>
  <si>
    <t xml:space="preserve">Flat</t>
  </si>
  <si>
    <t xml:space="preserve">O</t>
  </si>
  <si>
    <t xml:space="preserve">added_damage_pct</t>
  </si>
  <si>
    <r>
      <rPr>
        <sz val="11"/>
        <color rgb="FF000000"/>
        <rFont val="WenQuanYi Zen Hei"/>
        <family val="2"/>
      </rPr>
      <t xml:space="preserve">추가 피해 </t>
    </r>
    <r>
      <rPr>
        <sz val="11"/>
        <color rgb="FF000000"/>
        <rFont val="맑은 고딕"/>
        <family val="0"/>
        <charset val="1"/>
      </rPr>
      <t xml:space="preserve">%</t>
    </r>
  </si>
  <si>
    <t xml:space="preserve">AddedDamagePct</t>
  </si>
  <si>
    <t xml:space="preserve">AddPct</t>
  </si>
  <si>
    <t xml:space="preserve">weapon_damage_pct</t>
  </si>
  <si>
    <r>
      <rPr>
        <sz val="11"/>
        <color rgb="FF000000"/>
        <rFont val="WenQuanYi Zen Hei"/>
        <family val="2"/>
      </rPr>
      <t xml:space="preserve">무기 피해 </t>
    </r>
    <r>
      <rPr>
        <sz val="11"/>
        <color rgb="FF000000"/>
        <rFont val="맑은 고딕"/>
        <family val="0"/>
        <charset val="1"/>
      </rPr>
      <t xml:space="preserve">% (</t>
    </r>
    <r>
      <rPr>
        <sz val="11"/>
        <color rgb="FF000000"/>
        <rFont val="WenQuanYi Zen Hei"/>
        <family val="2"/>
      </rPr>
      <t xml:space="preserve">이 무기</t>
    </r>
    <r>
      <rPr>
        <sz val="11"/>
        <color rgb="FF000000"/>
        <rFont val="맑은 고딕"/>
        <family val="0"/>
        <charset val="1"/>
      </rPr>
      <t xml:space="preserve">)</t>
    </r>
  </si>
  <si>
    <t xml:space="preserve">LocalWeaponDamagePct</t>
  </si>
  <si>
    <t xml:space="preserve">skill_damage_pct</t>
  </si>
  <si>
    <r>
      <rPr>
        <sz val="11"/>
        <color rgb="FF000000"/>
        <rFont val="WenQuanYi Zen Hei"/>
        <family val="2"/>
      </rPr>
      <t xml:space="preserve">스킬 피해 </t>
    </r>
    <r>
      <rPr>
        <sz val="11"/>
        <color rgb="FF000000"/>
        <rFont val="맑은 고딕"/>
        <family val="0"/>
        <charset val="1"/>
      </rPr>
      <t xml:space="preserve">%</t>
    </r>
  </si>
  <si>
    <t xml:space="preserve">SkillDamagePct</t>
  </si>
  <si>
    <t xml:space="preserve">fire_damage_pct</t>
  </si>
  <si>
    <r>
      <rPr>
        <sz val="11"/>
        <color rgb="FF000000"/>
        <rFont val="WenQuanYi Zen Hei"/>
        <family val="2"/>
      </rPr>
      <t xml:space="preserve">화 피해 </t>
    </r>
    <r>
      <rPr>
        <sz val="11"/>
        <color rgb="FF000000"/>
        <rFont val="맑은 고딕"/>
        <family val="0"/>
        <charset val="1"/>
      </rPr>
      <t xml:space="preserve">%</t>
    </r>
  </si>
  <si>
    <t xml:space="preserve">FireDamagePct</t>
  </si>
  <si>
    <t xml:space="preserve">added_fire_damage</t>
  </si>
  <si>
    <t xml:space="preserve">화 피해 추가</t>
  </si>
  <si>
    <t xml:space="preserve">AddedFireDamage</t>
  </si>
  <si>
    <t xml:space="preserve">attack_speed</t>
  </si>
  <si>
    <t xml:space="preserve">공격 속도</t>
  </si>
  <si>
    <t xml:space="preserve">AttackSpeedPct</t>
  </si>
  <si>
    <t xml:space="preserve">crit_chance</t>
  </si>
  <si>
    <t xml:space="preserve">치명타 확률</t>
  </si>
  <si>
    <t xml:space="preserve">CritChance</t>
  </si>
  <si>
    <t xml:space="preserve">crit_damage</t>
  </si>
  <si>
    <t xml:space="preserve">치명타 피해</t>
  </si>
  <si>
    <t xml:space="preserve">CritDamage</t>
  </si>
  <si>
    <t xml:space="preserve">armor</t>
  </si>
  <si>
    <t xml:space="preserve">방어력</t>
  </si>
  <si>
    <t xml:space="preserve">armor_pct</t>
  </si>
  <si>
    <r>
      <rPr>
        <sz val="11"/>
        <color rgb="FF000000"/>
        <rFont val="WenQuanYi Zen Hei"/>
        <family val="2"/>
      </rPr>
      <t xml:space="preserve">방어력 </t>
    </r>
    <r>
      <rPr>
        <sz val="11"/>
        <color rgb="FF000000"/>
        <rFont val="맑은 고딕"/>
        <family val="0"/>
        <charset val="1"/>
      </rPr>
      <t xml:space="preserve">% (</t>
    </r>
    <r>
      <rPr>
        <sz val="11"/>
        <color rgb="FF000000"/>
        <rFont val="WenQuanYi Zen Hei"/>
        <family val="2"/>
      </rPr>
      <t xml:space="preserve">이 갑옷</t>
    </r>
    <r>
      <rPr>
        <sz val="11"/>
        <color rgb="FF000000"/>
        <rFont val="맑은 고딕"/>
        <family val="0"/>
        <charset val="1"/>
      </rPr>
      <t xml:space="preserve">)</t>
    </r>
  </si>
  <si>
    <t xml:space="preserve">LocalArmorPct</t>
  </si>
  <si>
    <t xml:space="preserve">res_fire</t>
  </si>
  <si>
    <t xml:space="preserve">화 저항</t>
  </si>
  <si>
    <t xml:space="preserve">res_water</t>
  </si>
  <si>
    <t xml:space="preserve">수 저항</t>
  </si>
  <si>
    <t xml:space="preserve">res_poison</t>
  </si>
  <si>
    <t xml:space="preserve">독 저항</t>
  </si>
  <si>
    <t xml:space="preserve">res_yin</t>
  </si>
  <si>
    <t xml:space="preserve">음 저항</t>
  </si>
  <si>
    <t xml:space="preserve">res_all</t>
  </si>
  <si>
    <t xml:space="preserve">모든 저항</t>
  </si>
  <si>
    <t xml:space="preserve">ResAll</t>
  </si>
  <si>
    <t xml:space="preserve">damage_reduction</t>
  </si>
  <si>
    <r>
      <rPr>
        <sz val="11"/>
        <color rgb="FF000000"/>
        <rFont val="WenQuanYi Zen Hei"/>
        <family val="2"/>
      </rPr>
      <t xml:space="preserve">피해 감소 </t>
    </r>
    <r>
      <rPr>
        <sz val="11"/>
        <color rgb="FF000000"/>
        <rFont val="맑은 고딕"/>
        <family val="0"/>
        <charset val="1"/>
      </rPr>
      <t xml:space="preserve">%</t>
    </r>
  </si>
  <si>
    <t xml:space="preserve">DamageReductionPct</t>
  </si>
  <si>
    <t xml:space="preserve">health_regen</t>
  </si>
  <si>
    <r>
      <rPr>
        <sz val="11"/>
        <color rgb="FF000000"/>
        <rFont val="WenQuanYi Zen Hei"/>
        <family val="2"/>
      </rPr>
      <t xml:space="preserve">체력 재생 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초당</t>
    </r>
    <r>
      <rPr>
        <sz val="11"/>
        <color rgb="FF000000"/>
        <rFont val="맑은 고딕"/>
        <family val="0"/>
        <charset val="1"/>
      </rPr>
      <t xml:space="preserve">)</t>
    </r>
  </si>
  <si>
    <t xml:space="preserve">HealthRegen</t>
  </si>
  <si>
    <t xml:space="preserve">life_on_kill</t>
  </si>
  <si>
    <t xml:space="preserve">처치 시 체력 회복</t>
  </si>
  <si>
    <t xml:space="preserve">LifeOnKill</t>
  </si>
  <si>
    <t xml:space="preserve">max_resource</t>
  </si>
  <si>
    <t xml:space="preserve">최대 기력</t>
  </si>
  <si>
    <t xml:space="preserve">MaxResource</t>
  </si>
  <si>
    <t xml:space="preserve">resource_regen</t>
  </si>
  <si>
    <r>
      <rPr>
        <sz val="11"/>
        <color rgb="FF000000"/>
        <rFont val="WenQuanYi Zen Hei"/>
        <family val="2"/>
      </rPr>
      <t xml:space="preserve">기력 회복 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초당</t>
    </r>
    <r>
      <rPr>
        <sz val="11"/>
        <color rgb="FF000000"/>
        <rFont val="맑은 고딕"/>
        <family val="0"/>
        <charset val="1"/>
      </rPr>
      <t xml:space="preserve">)</t>
    </r>
  </si>
  <si>
    <t xml:space="preserve">resource_cost</t>
  </si>
  <si>
    <t xml:space="preserve">기력 소모 감소</t>
  </si>
  <si>
    <t xml:space="preserve">ResourceCostReduction</t>
  </si>
  <si>
    <t xml:space="preserve">cooldown</t>
  </si>
  <si>
    <t xml:space="preserve">쿨타임 감소</t>
  </si>
  <si>
    <t xml:space="preserve">CooldownReduction</t>
  </si>
  <si>
    <t xml:space="preserve">move_speed</t>
  </si>
  <si>
    <t xml:space="preserve">이동 속도</t>
  </si>
  <si>
    <t xml:space="preserve">MoveSpeedPct</t>
  </si>
  <si>
    <t xml:space="preserve">potion_heal</t>
  </si>
  <si>
    <r>
      <rPr>
        <sz val="11"/>
        <color rgb="FF000000"/>
        <rFont val="WenQuanYi Zen Hei"/>
        <family val="2"/>
      </rPr>
      <t xml:space="preserve">물약 회복량 </t>
    </r>
    <r>
      <rPr>
        <sz val="11"/>
        <color rgb="FF000000"/>
        <rFont val="맑은 고딕"/>
        <family val="0"/>
        <charset val="1"/>
      </rPr>
      <t xml:space="preserve">%</t>
    </r>
  </si>
  <si>
    <t xml:space="preserve">PotionHealPct</t>
  </si>
  <si>
    <t xml:space="preserve">magic_find</t>
  </si>
  <si>
    <r>
      <rPr>
        <sz val="11"/>
        <color rgb="FF000000"/>
        <rFont val="WenQuanYi Zen Hei"/>
        <family val="2"/>
      </rPr>
      <t xml:space="preserve">아이템 발견 </t>
    </r>
    <r>
      <rPr>
        <sz val="11"/>
        <color rgb="FF000000"/>
        <rFont val="맑은 고딕"/>
        <family val="0"/>
        <charset val="1"/>
      </rPr>
      <t xml:space="preserve">%</t>
    </r>
  </si>
  <si>
    <t xml:space="preserve">MagicFind</t>
  </si>
  <si>
    <t xml:space="preserve">gold_find</t>
  </si>
  <si>
    <r>
      <rPr>
        <sz val="11"/>
        <color rgb="FF000000"/>
        <rFont val="WenQuanYi Zen Hei"/>
        <family val="2"/>
      </rPr>
      <t xml:space="preserve">엽전 획득 </t>
    </r>
    <r>
      <rPr>
        <sz val="11"/>
        <color rgb="FF000000"/>
        <rFont val="맑은 고딕"/>
        <family val="0"/>
        <charset val="1"/>
      </rPr>
      <t xml:space="preserve">%</t>
    </r>
  </si>
  <si>
    <t xml:space="preserve">GoldFind</t>
  </si>
  <si>
    <t xml:space="preserve">all_skills</t>
  </si>
  <si>
    <t xml:space="preserve">모든 스킬 랭크</t>
  </si>
  <si>
    <t xml:space="preserve">AllSkillRank</t>
  </si>
  <si>
    <t xml:space="preserve">max_resist</t>
  </si>
  <si>
    <r>
      <rPr>
        <sz val="11"/>
        <color rgb="FF000000"/>
        <rFont val="WenQuanYi Zen Hei"/>
        <family val="2"/>
      </rPr>
      <t xml:space="preserve">최대 저항 </t>
    </r>
    <r>
      <rPr>
        <sz val="11"/>
        <color rgb="FF000000"/>
        <rFont val="맑은 고딕"/>
        <family val="0"/>
        <charset val="1"/>
      </rPr>
      <t xml:space="preserve">+%</t>
    </r>
  </si>
  <si>
    <t xml:space="preserve">MaxResistBonus</t>
  </si>
  <si>
    <t xml:space="preserve">No</t>
  </si>
  <si>
    <t xml:space="preserve">Type</t>
  </si>
  <si>
    <t xml:space="preserve">Tileset</t>
  </si>
  <si>
    <t xml:space="preserve">AreaLevel</t>
  </si>
  <si>
    <t xml:space="preserve">MaxEnemies</t>
  </si>
  <si>
    <t xml:space="preserve">ruined_mountain</t>
  </si>
  <si>
    <t xml:space="preserve">무너진 본산</t>
  </si>
  <si>
    <t xml:space="preserve">Handmade</t>
  </si>
  <si>
    <t xml:space="preserve">폐사찰</t>
  </si>
  <si>
    <t xml:space="preserve">프롤로그</t>
  </si>
  <si>
    <t xml:space="preserve">stairs108</t>
  </si>
  <si>
    <t xml:space="preserve">백팔 계단</t>
  </si>
  <si>
    <t xml:space="preserve">Random</t>
  </si>
  <si>
    <t xml:space="preserve">misty_path</t>
  </si>
  <si>
    <t xml:space="preserve">안개 산길</t>
  </si>
  <si>
    <r>
      <rPr>
        <sz val="11"/>
        <color rgb="FF000000"/>
        <rFont val="WenQuanYi Zen Hei"/>
        <family val="2"/>
      </rPr>
      <t xml:space="preserve">산길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숲</t>
    </r>
  </si>
  <si>
    <t xml:space="preserve">village_below</t>
  </si>
  <si>
    <t xml:space="preserve">산 아래 마을</t>
  </si>
  <si>
    <r>
      <rPr>
        <sz val="11"/>
        <color rgb="FF000000"/>
        <rFont val="WenQuanYi Zen Hei"/>
        <family val="2"/>
      </rPr>
      <t xml:space="preserve">탈환 후 거점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안전</t>
    </r>
    <r>
      <rPr>
        <sz val="11"/>
        <color rgb="FF000000"/>
        <rFont val="맑은 고딕"/>
        <family val="0"/>
        <charset val="1"/>
      </rPr>
      <t xml:space="preserve">)</t>
    </r>
  </si>
  <si>
    <t xml:space="preserve">terraced_field</t>
  </si>
  <si>
    <t xml:space="preserve">다랑이 논</t>
  </si>
  <si>
    <t xml:space="preserve">shrine_pass</t>
  </si>
  <si>
    <t xml:space="preserve">서낭당 고개</t>
  </si>
  <si>
    <t xml:space="preserve">웨이포인트</t>
  </si>
  <si>
    <t xml:space="preserve">slash_burn_village</t>
  </si>
  <si>
    <t xml:space="preserve">버려진 화전민 마을</t>
  </si>
  <si>
    <t xml:space="preserve">old_mine_1</t>
  </si>
  <si>
    <r>
      <rPr>
        <sz val="11"/>
        <color rgb="FF000000"/>
        <rFont val="WenQuanYi Zen Hei"/>
        <family val="2"/>
      </rPr>
      <t xml:space="preserve">폐금광 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층</t>
    </r>
  </si>
  <si>
    <t xml:space="preserve">동굴</t>
  </si>
  <si>
    <t xml:space="preserve">선택 던전</t>
  </si>
  <si>
    <t xml:space="preserve">old_mine_2</t>
  </si>
  <si>
    <r>
      <rPr>
        <sz val="11"/>
        <color rgb="FF000000"/>
        <rFont val="WenQuanYi Zen Hei"/>
        <family val="2"/>
      </rPr>
      <t xml:space="preserve">폐금광 </t>
    </r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층</t>
    </r>
  </si>
  <si>
    <t xml:space="preserve">bamboo_forest</t>
  </si>
  <si>
    <t xml:space="preserve">대나무 숲</t>
  </si>
  <si>
    <t xml:space="preserve">tomb_hill</t>
  </si>
  <si>
    <t xml:space="preserve">고분 언덕</t>
  </si>
  <si>
    <t xml:space="preserve">고분</t>
  </si>
  <si>
    <t xml:space="preserve">royal_tomb_1</t>
  </si>
  <si>
    <r>
      <rPr>
        <sz val="11"/>
        <color rgb="FF000000"/>
        <rFont val="WenQuanYi Zen Hei"/>
        <family val="2"/>
      </rPr>
      <t xml:space="preserve">옛 왕릉 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층</t>
    </r>
  </si>
  <si>
    <t xml:space="preserve">royal_tomb_2</t>
  </si>
  <si>
    <r>
      <rPr>
        <sz val="11"/>
        <color rgb="FF000000"/>
        <rFont val="WenQuanYi Zen Hei"/>
        <family val="2"/>
      </rPr>
      <t xml:space="preserve">옛 왕릉 </t>
    </r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층</t>
    </r>
  </si>
  <si>
    <t xml:space="preserve">changgwi_valley</t>
  </si>
  <si>
    <t xml:space="preserve">창귀 골짜기</t>
  </si>
  <si>
    <t xml:space="preserve">sangun_den</t>
  </si>
  <si>
    <t xml:space="preserve">산군의 굴</t>
  </si>
  <si>
    <t xml:space="preserve">보스 산군</t>
  </si>
  <si>
    <t xml:space="preserve">river_pass</t>
  </si>
  <si>
    <t xml:space="preserve">강으로 가는 고갯길</t>
  </si>
  <si>
    <t xml:space="preserve">hwangpo_ferry</t>
  </si>
  <si>
    <t xml:space="preserve">황포 나루</t>
  </si>
  <si>
    <r>
      <rPr>
        <sz val="11"/>
        <color rgb="FF000000"/>
        <rFont val="WenQuanYi Zen Hei"/>
        <family val="2"/>
      </rPr>
      <t xml:space="preserve">거점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안전</t>
    </r>
    <r>
      <rPr>
        <sz val="11"/>
        <color rgb="FF000000"/>
        <rFont val="맑은 고딕"/>
        <family val="0"/>
        <charset val="1"/>
      </rPr>
      <t xml:space="preserve">)</t>
    </r>
  </si>
  <si>
    <t xml:space="preserve">reed_field</t>
  </si>
  <si>
    <t xml:space="preserve">갈대밭</t>
  </si>
  <si>
    <r>
      <rPr>
        <sz val="11"/>
        <color rgb="FF000000"/>
        <rFont val="WenQuanYi Zen Hei"/>
        <family val="2"/>
      </rPr>
      <t xml:space="preserve">강변</t>
    </r>
    <r>
      <rPr>
        <sz val="11"/>
        <color rgb="FF000000"/>
        <rFont val="맑은 고딕"/>
        <family val="0"/>
        <charset val="1"/>
      </rPr>
      <t xml:space="preserve">·</t>
    </r>
    <r>
      <rPr>
        <sz val="11"/>
        <color rgb="FF000000"/>
        <rFont val="WenQuanYi Zen Hei"/>
        <family val="2"/>
      </rPr>
      <t xml:space="preserve">갈대밭</t>
    </r>
  </si>
  <si>
    <t xml:space="preserve">willow_marsh</t>
  </si>
  <si>
    <t xml:space="preserve">버드나무 늪</t>
  </si>
  <si>
    <t xml:space="preserve">늪</t>
  </si>
  <si>
    <t xml:space="preserve">watermill_village</t>
  </si>
  <si>
    <t xml:space="preserve">멈춘 물레방아 마을</t>
  </si>
  <si>
    <t xml:space="preserve">funeral_pass</t>
  </si>
  <si>
    <t xml:space="preserve">상엿소리 고개</t>
  </si>
  <si>
    <t xml:space="preserve">imugi_cave_1</t>
  </si>
  <si>
    <r>
      <rPr>
        <sz val="11"/>
        <color rgb="FF000000"/>
        <rFont val="WenQuanYi Zen Hei"/>
        <family val="2"/>
      </rPr>
      <t xml:space="preserve">이무기 굴 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층</t>
    </r>
  </si>
  <si>
    <t xml:space="preserve">물 동굴</t>
  </si>
  <si>
    <t xml:space="preserve">imugi_cave_2</t>
  </si>
  <si>
    <r>
      <rPr>
        <sz val="11"/>
        <color rgb="FF000000"/>
        <rFont val="WenQuanYi Zen Hei"/>
        <family val="2"/>
      </rPr>
      <t xml:space="preserve">이무기 굴 </t>
    </r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층</t>
    </r>
  </si>
  <si>
    <t xml:space="preserve">dragon_falls</t>
  </si>
  <si>
    <t xml:space="preserve">용소 폭포</t>
  </si>
  <si>
    <t xml:space="preserve">drowned_village</t>
  </si>
  <si>
    <t xml:space="preserve">물에 잠긴 마을</t>
  </si>
  <si>
    <t xml:space="preserve">shaman_shrine_1</t>
  </si>
  <si>
    <r>
      <rPr>
        <sz val="11"/>
        <color rgb="FF000000"/>
        <rFont val="WenQuanYi Zen Hei"/>
        <family val="2"/>
      </rPr>
      <t xml:space="preserve">무녀의 신당 지하 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층</t>
    </r>
  </si>
  <si>
    <t xml:space="preserve">shaman_shrine_2</t>
  </si>
  <si>
    <r>
      <rPr>
        <sz val="11"/>
        <color rgb="FF000000"/>
        <rFont val="WenQuanYi Zen Hei"/>
        <family val="2"/>
      </rPr>
      <t xml:space="preserve">무녀의 신당 지하 </t>
    </r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층</t>
    </r>
  </si>
  <si>
    <t xml:space="preserve">sunken_temple_yard</t>
  </si>
  <si>
    <t xml:space="preserve">수몰 사찰 경내</t>
  </si>
  <si>
    <t xml:space="preserve">수몰 사찰</t>
  </si>
  <si>
    <t xml:space="preserve">sunken_hall_1</t>
  </si>
  <si>
    <r>
      <rPr>
        <sz val="11"/>
        <color rgb="FF000000"/>
        <rFont val="WenQuanYi Zen Hei"/>
        <family val="2"/>
      </rPr>
      <t xml:space="preserve">수몰 사찰 법당 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층</t>
    </r>
  </si>
  <si>
    <t xml:space="preserve">sunken_hall_2</t>
  </si>
  <si>
    <r>
      <rPr>
        <sz val="11"/>
        <color rgb="FF000000"/>
        <rFont val="WenQuanYi Zen Hei"/>
        <family val="2"/>
      </rPr>
      <t xml:space="preserve">수몰 사찰 법당 </t>
    </r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층</t>
    </r>
  </si>
  <si>
    <t xml:space="preserve">sunken_main_hall</t>
  </si>
  <si>
    <t xml:space="preserve">잠긴 대웅전</t>
  </si>
  <si>
    <t xml:space="preserve">보스 타락한 대사형</t>
  </si>
  <si>
    <t xml:space="preserve">broken_border_field</t>
  </si>
  <si>
    <t xml:space="preserve">경계가 무너진 들판</t>
  </si>
  <si>
    <t xml:space="preserve">iljumun_camp</t>
  </si>
  <si>
    <t xml:space="preserve">일주문 야영지</t>
  </si>
  <si>
    <t xml:space="preserve">returned_mountain</t>
  </si>
  <si>
    <t xml:space="preserve">다시 찾은 본산</t>
  </si>
  <si>
    <t xml:space="preserve">jumuk_archive</t>
  </si>
  <si>
    <t xml:space="preserve">주묵 서고</t>
  </si>
  <si>
    <t xml:space="preserve">주묵 지하</t>
  </si>
  <si>
    <t xml:space="preserve">training_cave_1</t>
  </si>
  <si>
    <r>
      <rPr>
        <sz val="11"/>
        <color rgb="FF000000"/>
        <rFont val="WenQuanYi Zen Hei"/>
        <family val="2"/>
      </rPr>
      <t xml:space="preserve">갈래 수련동 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층</t>
    </r>
  </si>
  <si>
    <t xml:space="preserve">training_cave_2</t>
  </si>
  <si>
    <r>
      <rPr>
        <sz val="11"/>
        <color rgb="FF000000"/>
        <rFont val="WenQuanYi Zen Hei"/>
        <family val="2"/>
      </rPr>
      <t xml:space="preserve">갈래 수련동 </t>
    </r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층</t>
    </r>
  </si>
  <si>
    <t xml:space="preserve">soul_vault_1</t>
  </si>
  <si>
    <r>
      <rPr>
        <sz val="11"/>
        <color rgb="FF000000"/>
        <rFont val="WenQuanYi Zen Hei"/>
        <family val="2"/>
      </rPr>
      <t xml:space="preserve">봉혼고 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층</t>
    </r>
  </si>
  <si>
    <t xml:space="preserve">soul_vault_2</t>
  </si>
  <si>
    <r>
      <rPr>
        <sz val="11"/>
        <color rgb="FF000000"/>
        <rFont val="WenQuanYi Zen Hei"/>
        <family val="2"/>
      </rPr>
      <t xml:space="preserve">봉혼고 </t>
    </r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층</t>
    </r>
  </si>
  <si>
    <t xml:space="preserve">soul_vault_3</t>
  </si>
  <si>
    <r>
      <rPr>
        <sz val="11"/>
        <color rgb="FF000000"/>
        <rFont val="WenQuanYi Zen Hei"/>
        <family val="2"/>
      </rPr>
      <t xml:space="preserve">봉혼고 </t>
    </r>
    <r>
      <rPr>
        <sz val="11"/>
        <color rgb="FF000000"/>
        <rFont val="맑은 고딕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층</t>
    </r>
  </si>
  <si>
    <t xml:space="preserve">중간 보스 불가살이</t>
  </si>
  <si>
    <t xml:space="preserve">great_gate_front</t>
  </si>
  <si>
    <t xml:space="preserve">대귀문 앞</t>
  </si>
  <si>
    <t xml:space="preserve">무영과의 대화</t>
  </si>
  <si>
    <t xml:space="preserve">underworld_entrance</t>
  </si>
  <si>
    <t xml:space="preserve">저승길 들머리</t>
  </si>
  <si>
    <t xml:space="preserve">저승길</t>
  </si>
  <si>
    <t xml:space="preserve">hwangcheon_ferry</t>
  </si>
  <si>
    <t xml:space="preserve">황천강 나루</t>
  </si>
  <si>
    <t xml:space="preserve">황천강</t>
  </si>
  <si>
    <t xml:space="preserve">withered_flower_field</t>
  </si>
  <si>
    <t xml:space="preserve">시든 서천꽃밭</t>
  </si>
  <si>
    <t xml:space="preserve">mirror_maze_1</t>
  </si>
  <si>
    <r>
      <rPr>
        <sz val="11"/>
        <color rgb="FF000000"/>
        <rFont val="WenQuanYi Zen Hei"/>
        <family val="2"/>
      </rPr>
      <t xml:space="preserve">업경대 미로 </t>
    </r>
    <r>
      <rPr>
        <sz val="11"/>
        <color rgb="FF000000"/>
        <rFont val="맑은 고딕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층</t>
    </r>
  </si>
  <si>
    <t xml:space="preserve">mirror_maze_2</t>
  </si>
  <si>
    <r>
      <rPr>
        <sz val="11"/>
        <color rgb="FF000000"/>
        <rFont val="WenQuanYi Zen Hei"/>
        <family val="2"/>
      </rPr>
      <t xml:space="preserve">업경대 미로 </t>
    </r>
    <r>
      <rPr>
        <sz val="11"/>
        <color rgb="FF000000"/>
        <rFont val="맑은 고딕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층</t>
    </r>
  </si>
  <si>
    <t xml:space="preserve">soul_heap_valley</t>
  </si>
  <si>
    <t xml:space="preserve">혼이 쌓인 골짜기</t>
  </si>
  <si>
    <t xml:space="preserve">master_altar</t>
  </si>
  <si>
    <t xml:space="preserve">대귀문 너머 — 스승의 제단</t>
  </si>
  <si>
    <t xml:space="preserve">최종 보스 스승</t>
  </si>
  <si>
    <t xml:space="preserve">귀문 균열 단계 → 지역 레벨</t>
  </si>
  <si>
    <t xml:space="preserve">RiftTier</t>
  </si>
  <si>
    <t xml:space="preserve">BossMonsterLevel</t>
  </si>
  <si>
    <r>
      <rPr>
        <b val="true"/>
        <sz val="14"/>
        <rFont val="WenQuanYi Zen Hei"/>
        <family val="2"/>
      </rPr>
      <t xml:space="preserve">전투 시뮬레이션 — 레벨에 맞는 장비를 끼고</t>
    </r>
    <r>
      <rPr>
        <b val="true"/>
        <sz val="14"/>
        <rFont val="맑은 고딕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같은 레벨의 기준 귀신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망자</t>
    </r>
    <r>
      <rPr>
        <b val="true"/>
        <sz val="14"/>
        <rFont val="맑은 고딕"/>
        <family val="0"/>
        <charset val="1"/>
      </rPr>
      <t xml:space="preserve">)</t>
    </r>
    <r>
      <rPr>
        <b val="true"/>
        <sz val="14"/>
        <rFont val="WenQuanYi Zen Hei"/>
        <family val="2"/>
      </rPr>
      <t xml:space="preserve">과 싸운다고 가정</t>
    </r>
  </si>
  <si>
    <r>
      <rPr>
        <sz val="11"/>
        <rFont val="WenQuanYi Zen Hei"/>
        <family val="2"/>
      </rPr>
      <t xml:space="preserve">기준 귀신 </t>
    </r>
    <r>
      <rPr>
        <sz val="11"/>
        <rFont val="맑은 고딕"/>
        <family val="0"/>
        <charset val="1"/>
      </rPr>
      <t xml:space="preserve">Id</t>
    </r>
  </si>
  <si>
    <r>
      <rPr>
        <sz val="11"/>
        <color rgb="FF7F7F7F"/>
        <rFont val="WenQuanYi Zen Hei"/>
        <family val="2"/>
      </rPr>
      <t xml:space="preserve">귀신 시트의 </t>
    </r>
    <r>
      <rPr>
        <sz val="11"/>
        <color rgb="FF7F7F7F"/>
        <rFont val="맑은 고딕"/>
        <family val="0"/>
        <charset val="1"/>
      </rPr>
      <t xml:space="preserve">Id</t>
    </r>
  </si>
  <si>
    <r>
      <rPr>
        <sz val="11"/>
        <rFont val="WenQuanYi Zen Hei"/>
        <family val="2"/>
      </rPr>
      <t xml:space="preserve">레벨 </t>
    </r>
    <r>
      <rPr>
        <sz val="11"/>
        <rFont val="맑은 고딕"/>
        <family val="0"/>
        <charset val="1"/>
      </rPr>
      <t xml:space="preserve">1 </t>
    </r>
    <r>
      <rPr>
        <sz val="11"/>
        <rFont val="WenQuanYi Zen Hei"/>
        <family val="2"/>
      </rPr>
      <t xml:space="preserve">무기 평균 피해</t>
    </r>
  </si>
  <si>
    <r>
      <rPr>
        <sz val="11"/>
        <color rgb="FF7F7F7F"/>
        <rFont val="WenQuanYi Zen Hei"/>
        <family val="2"/>
      </rPr>
      <t xml:space="preserve">가정</t>
    </r>
    <r>
      <rPr>
        <sz val="11"/>
        <color rgb="FF7F7F7F"/>
        <rFont val="맑은 고딕"/>
        <family val="0"/>
        <charset val="1"/>
      </rPr>
      <t xml:space="preserve">: </t>
    </r>
    <r>
      <rPr>
        <sz val="11"/>
        <color rgb="FF7F7F7F"/>
        <rFont val="WenQuanYi Zen Hei"/>
        <family val="2"/>
      </rPr>
      <t xml:space="preserve">레벨 </t>
    </r>
    <r>
      <rPr>
        <sz val="11"/>
        <color rgb="FF7F7F7F"/>
        <rFont val="맑은 고딕"/>
        <family val="0"/>
        <charset val="1"/>
      </rPr>
      <t xml:space="preserve">1 </t>
    </r>
    <r>
      <rPr>
        <sz val="11"/>
        <color rgb="FF7F7F7F"/>
        <rFont val="WenQuanYi Zen Hei"/>
        <family val="2"/>
      </rPr>
      <t xml:space="preserve">장비의 무기 피해 </t>
    </r>
    <r>
      <rPr>
        <sz val="11"/>
        <color rgb="FF7F7F7F"/>
        <rFont val="맑은 고딕"/>
        <family val="0"/>
        <charset val="1"/>
      </rPr>
      <t xml:space="preserve">(</t>
    </r>
    <r>
      <rPr>
        <sz val="11"/>
        <color rgb="FF7F7F7F"/>
        <rFont val="WenQuanYi Zen Hei"/>
        <family val="2"/>
      </rPr>
      <t xml:space="preserve">최소</t>
    </r>
    <r>
      <rPr>
        <sz val="11"/>
        <color rgb="FF7F7F7F"/>
        <rFont val="맑은 고딕"/>
        <family val="0"/>
        <charset val="1"/>
      </rPr>
      <t xml:space="preserve">~</t>
    </r>
    <r>
      <rPr>
        <sz val="11"/>
        <color rgb="FF7F7F7F"/>
        <rFont val="WenQuanYi Zen Hei"/>
        <family val="2"/>
      </rPr>
      <t xml:space="preserve">최대 평균</t>
    </r>
    <r>
      <rPr>
        <sz val="11"/>
        <color rgb="FF7F7F7F"/>
        <rFont val="맑은 고딕"/>
        <family val="0"/>
        <charset val="1"/>
      </rPr>
      <t xml:space="preserve">)</t>
    </r>
  </si>
  <si>
    <t xml:space="preserve">무기 피해 레벨당 성장</t>
  </si>
  <si>
    <r>
      <rPr>
        <sz val="11"/>
        <color rgb="FF7F7F7F"/>
        <rFont val="WenQuanYi Zen Hei"/>
        <family val="2"/>
      </rPr>
      <t xml:space="preserve">가정</t>
    </r>
    <r>
      <rPr>
        <sz val="11"/>
        <color rgb="FF7F7F7F"/>
        <rFont val="맑은 고딕"/>
        <family val="0"/>
        <charset val="1"/>
      </rPr>
      <t xml:space="preserve">: </t>
    </r>
    <r>
      <rPr>
        <sz val="11"/>
        <color rgb="FF7F7F7F"/>
        <rFont val="WenQuanYi Zen Hei"/>
        <family val="2"/>
      </rPr>
      <t xml:space="preserve">무기 평균 피해 </t>
    </r>
    <r>
      <rPr>
        <sz val="11"/>
        <color rgb="FF7F7F7F"/>
        <rFont val="맑은 고딕"/>
        <family val="0"/>
        <charset val="1"/>
      </rPr>
      <t xml:space="preserve">= </t>
    </r>
    <r>
      <rPr>
        <sz val="11"/>
        <color rgb="FF7F7F7F"/>
        <rFont val="WenQuanYi Zen Hei"/>
        <family val="2"/>
      </rPr>
      <t xml:space="preserve">위 값 </t>
    </r>
    <r>
      <rPr>
        <sz val="11"/>
        <color rgb="FF7F7F7F"/>
        <rFont val="맑은 고딕"/>
        <family val="0"/>
        <charset val="1"/>
      </rPr>
      <t xml:space="preserve">× </t>
    </r>
    <r>
      <rPr>
        <sz val="11"/>
        <color rgb="FF7F7F7F"/>
        <rFont val="WenQuanYi Zen Hei"/>
        <family val="2"/>
      </rPr>
      <t xml:space="preserve">이 값 </t>
    </r>
    <r>
      <rPr>
        <sz val="11"/>
        <color rgb="FF7F7F7F"/>
        <rFont val="맑은 고딕"/>
        <family val="0"/>
        <charset val="1"/>
      </rPr>
      <t xml:space="preserve">^ (</t>
    </r>
    <r>
      <rPr>
        <sz val="11"/>
        <color rgb="FF7F7F7F"/>
        <rFont val="WenQuanYi Zen Hei"/>
        <family val="2"/>
      </rPr>
      <t xml:space="preserve">레벨 − </t>
    </r>
    <r>
      <rPr>
        <sz val="11"/>
        <color rgb="FF7F7F7F"/>
        <rFont val="맑은 고딕"/>
        <family val="0"/>
        <charset val="1"/>
      </rPr>
      <t xml:space="preserve">1)</t>
    </r>
  </si>
  <si>
    <t xml:space="preserve">스킬 배율</t>
  </si>
  <si>
    <r>
      <rPr>
        <sz val="11"/>
        <color rgb="FF7F7F7F"/>
        <rFont val="WenQuanYi Zen Hei"/>
        <family val="2"/>
      </rPr>
      <t xml:space="preserve">가정</t>
    </r>
    <r>
      <rPr>
        <sz val="11"/>
        <color rgb="FF7F7F7F"/>
        <rFont val="맑은 고딕"/>
        <family val="0"/>
        <charset val="1"/>
      </rPr>
      <t xml:space="preserve">: </t>
    </r>
    <r>
      <rPr>
        <sz val="11"/>
        <color rgb="FF7F7F7F"/>
        <rFont val="WenQuanYi Zen Hei"/>
        <family val="2"/>
      </rPr>
      <t xml:space="preserve">주력 스킬 배율 </t>
    </r>
    <r>
      <rPr>
        <sz val="11"/>
        <color rgb="FF7F7F7F"/>
        <rFont val="맑은 고딕"/>
        <family val="0"/>
        <charset val="1"/>
      </rPr>
      <t xml:space="preserve">(</t>
    </r>
    <r>
      <rPr>
        <sz val="11"/>
        <color rgb="FF7F7F7F"/>
        <rFont val="WenQuanYi Zen Hei"/>
        <family val="2"/>
      </rPr>
      <t xml:space="preserve">부적 투사체 랭크 </t>
    </r>
    <r>
      <rPr>
        <sz val="11"/>
        <color rgb="FF7F7F7F"/>
        <rFont val="맑은 고딕"/>
        <family val="0"/>
        <charset val="1"/>
      </rPr>
      <t xml:space="preserve">1 = 120%)</t>
    </r>
  </si>
  <si>
    <t xml:space="preserve">초당 공격 횟수</t>
  </si>
  <si>
    <r>
      <rPr>
        <sz val="11"/>
        <color rgb="FF7F7F7F"/>
        <rFont val="WenQuanYi Zen Hei"/>
        <family val="2"/>
      </rPr>
      <t xml:space="preserve">가정</t>
    </r>
    <r>
      <rPr>
        <sz val="11"/>
        <color rgb="FF7F7F7F"/>
        <rFont val="맑은 고딕"/>
        <family val="0"/>
        <charset val="1"/>
      </rPr>
      <t xml:space="preserve">: </t>
    </r>
    <r>
      <rPr>
        <sz val="11"/>
        <color rgb="FF7F7F7F"/>
        <rFont val="WenQuanYi Zen Hei"/>
        <family val="2"/>
      </rPr>
      <t xml:space="preserve">공격 속도 보너스 포함</t>
    </r>
  </si>
  <si>
    <r>
      <rPr>
        <sz val="11"/>
        <rFont val="WenQuanYi Zen Hei"/>
        <family val="2"/>
      </rPr>
      <t xml:space="preserve">레벨당 추가 피해 </t>
    </r>
    <r>
      <rPr>
        <sz val="11"/>
        <rFont val="맑은 고딕"/>
        <family val="0"/>
        <charset val="1"/>
      </rPr>
      <t xml:space="preserve">%</t>
    </r>
  </si>
  <si>
    <r>
      <rPr>
        <sz val="11"/>
        <color rgb="FF7F7F7F"/>
        <rFont val="WenQuanYi Zen Hei"/>
        <family val="2"/>
      </rPr>
      <t xml:space="preserve">가정</t>
    </r>
    <r>
      <rPr>
        <sz val="11"/>
        <color rgb="FF7F7F7F"/>
        <rFont val="맑은 고딕"/>
        <family val="0"/>
        <charset val="1"/>
      </rPr>
      <t xml:space="preserve">: </t>
    </r>
    <r>
      <rPr>
        <sz val="11"/>
        <color rgb="FF7F7F7F"/>
        <rFont val="WenQuanYi Zen Hei"/>
        <family val="2"/>
      </rPr>
      <t xml:space="preserve">장비로 얻는 추가 피해 </t>
    </r>
    <r>
      <rPr>
        <sz val="11"/>
        <color rgb="FF7F7F7F"/>
        <rFont val="맑은 고딕"/>
        <family val="0"/>
        <charset val="1"/>
      </rPr>
      <t xml:space="preserve">% (</t>
    </r>
    <r>
      <rPr>
        <sz val="11"/>
        <color rgb="FF7F7F7F"/>
        <rFont val="WenQuanYi Zen Hei"/>
        <family val="2"/>
      </rPr>
      <t xml:space="preserve">레벨 </t>
    </r>
    <r>
      <rPr>
        <sz val="11"/>
        <color rgb="FF7F7F7F"/>
        <rFont val="맑은 고딕"/>
        <family val="0"/>
        <charset val="1"/>
      </rPr>
      <t xml:space="preserve">× </t>
    </r>
    <r>
      <rPr>
        <sz val="11"/>
        <color rgb="FF7F7F7F"/>
        <rFont val="WenQuanYi Zen Hei"/>
        <family val="2"/>
      </rPr>
      <t xml:space="preserve">이 값</t>
    </r>
    <r>
      <rPr>
        <sz val="11"/>
        <color rgb="FF7F7F7F"/>
        <rFont val="맑은 고딕"/>
        <family val="0"/>
        <charset val="1"/>
      </rPr>
      <t xml:space="preserve">)</t>
    </r>
  </si>
  <si>
    <t xml:space="preserve">레벨당 치명타 확률 증가</t>
  </si>
  <si>
    <r>
      <rPr>
        <sz val="11"/>
        <color rgb="FF7F7F7F"/>
        <rFont val="WenQuanYi Zen Hei"/>
        <family val="2"/>
      </rPr>
      <t xml:space="preserve">가정</t>
    </r>
    <r>
      <rPr>
        <sz val="11"/>
        <color rgb="FF7F7F7F"/>
        <rFont val="맑은 고딕"/>
        <family val="0"/>
        <charset val="1"/>
      </rPr>
      <t xml:space="preserve">: </t>
    </r>
    <r>
      <rPr>
        <sz val="11"/>
        <color rgb="FF7F7F7F"/>
        <rFont val="WenQuanYi Zen Hei"/>
        <family val="2"/>
      </rPr>
      <t xml:space="preserve">기본 </t>
    </r>
    <r>
      <rPr>
        <sz val="11"/>
        <color rgb="FF7F7F7F"/>
        <rFont val="맑은 고딕"/>
        <family val="0"/>
        <charset val="1"/>
      </rPr>
      <t xml:space="preserve">5% + </t>
    </r>
    <r>
      <rPr>
        <sz val="11"/>
        <color rgb="FF7F7F7F"/>
        <rFont val="WenQuanYi Zen Hei"/>
        <family val="2"/>
      </rPr>
      <t xml:space="preserve">레벨 </t>
    </r>
    <r>
      <rPr>
        <sz val="11"/>
        <color rgb="FF7F7F7F"/>
        <rFont val="맑은 고딕"/>
        <family val="0"/>
        <charset val="1"/>
      </rPr>
      <t xml:space="preserve">× </t>
    </r>
    <r>
      <rPr>
        <sz val="11"/>
        <color rgb="FF7F7F7F"/>
        <rFont val="WenQuanYi Zen Hei"/>
        <family val="2"/>
      </rPr>
      <t xml:space="preserve">이 값</t>
    </r>
  </si>
  <si>
    <t xml:space="preserve">레벨당 장비 체력</t>
  </si>
  <si>
    <r>
      <rPr>
        <sz val="11"/>
        <color rgb="FF7F7F7F"/>
        <rFont val="WenQuanYi Zen Hei"/>
        <family val="2"/>
      </rPr>
      <t xml:space="preserve">가정</t>
    </r>
    <r>
      <rPr>
        <sz val="11"/>
        <color rgb="FF7F7F7F"/>
        <rFont val="맑은 고딕"/>
        <family val="0"/>
        <charset val="1"/>
      </rPr>
      <t xml:space="preserve">: </t>
    </r>
    <r>
      <rPr>
        <sz val="11"/>
        <color rgb="FF7F7F7F"/>
        <rFont val="WenQuanYi Zen Hei"/>
        <family val="2"/>
      </rPr>
      <t xml:space="preserve">장비로 얻는 최대 체력 </t>
    </r>
    <r>
      <rPr>
        <sz val="11"/>
        <color rgb="FF7F7F7F"/>
        <rFont val="맑은 고딕"/>
        <family val="0"/>
        <charset val="1"/>
      </rPr>
      <t xml:space="preserve">(</t>
    </r>
    <r>
      <rPr>
        <sz val="11"/>
        <color rgb="FF7F7F7F"/>
        <rFont val="WenQuanYi Zen Hei"/>
        <family val="2"/>
      </rPr>
      <t xml:space="preserve">레벨 </t>
    </r>
    <r>
      <rPr>
        <sz val="11"/>
        <color rgb="FF7F7F7F"/>
        <rFont val="맑은 고딕"/>
        <family val="0"/>
        <charset val="1"/>
      </rPr>
      <t xml:space="preserve">× </t>
    </r>
    <r>
      <rPr>
        <sz val="11"/>
        <color rgb="FF7F7F7F"/>
        <rFont val="WenQuanYi Zen Hei"/>
        <family val="2"/>
      </rPr>
      <t xml:space="preserve">이 값</t>
    </r>
    <r>
      <rPr>
        <sz val="11"/>
        <color rgb="FF7F7F7F"/>
        <rFont val="맑은 고딕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</si>
  <si>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방어력 </t>
    </r>
    <r>
      <rPr>
        <sz val="11"/>
        <rFont val="맑은 고딕"/>
        <family val="0"/>
        <charset val="1"/>
      </rPr>
      <t xml:space="preserve">= </t>
    </r>
    <r>
      <rPr>
        <sz val="11"/>
        <rFont val="WenQuanYi Zen Hei"/>
        <family val="2"/>
      </rPr>
      <t xml:space="preserve">레벨 </t>
    </r>
    <r>
      <rPr>
        <sz val="11"/>
        <rFont val="맑은 고딕"/>
        <family val="0"/>
        <charset val="1"/>
      </rPr>
      <t xml:space="preserve">× A + B </t>
    </r>
    <r>
      <rPr>
        <sz val="11"/>
        <rFont val="WenQuanYi Zen Hei"/>
        <family val="2"/>
      </rPr>
      <t xml:space="preserve">의 </t>
    </r>
    <r>
      <rPr>
        <sz val="11"/>
        <rFont val="맑은 고딕"/>
        <family val="0"/>
        <charset val="1"/>
      </rPr>
      <t xml:space="preserve">A</t>
    </r>
  </si>
  <si>
    <r>
      <rPr>
        <sz val="11"/>
        <color rgb="FF7F7F7F"/>
        <rFont val="WenQuanYi Zen Hei"/>
        <family val="2"/>
      </rPr>
      <t xml:space="preserve">가정</t>
    </r>
    <r>
      <rPr>
        <sz val="11"/>
        <color rgb="FF7F7F7F"/>
        <rFont val="맑은 고딕"/>
        <family val="0"/>
        <charset val="1"/>
      </rPr>
      <t xml:space="preserve">: </t>
    </r>
    <r>
      <rPr>
        <sz val="11"/>
        <color rgb="FF7F7F7F"/>
        <rFont val="WenQuanYi Zen Hei"/>
        <family val="2"/>
      </rPr>
      <t xml:space="preserve">레벨에 맞는 장비의 방어력</t>
    </r>
  </si>
  <si>
    <r>
      <rPr>
        <sz val="11"/>
        <rFont val="WenQuanYi Zen Hei"/>
        <family val="2"/>
      </rPr>
      <t xml:space="preserve">방어력 </t>
    </r>
    <r>
      <rPr>
        <sz val="11"/>
        <rFont val="맑은 고딕"/>
        <family val="0"/>
        <charset val="1"/>
      </rPr>
      <t xml:space="preserve">= </t>
    </r>
    <r>
      <rPr>
        <sz val="11"/>
        <rFont val="WenQuanYi Zen Hei"/>
        <family val="2"/>
      </rPr>
      <t xml:space="preserve">레벨 </t>
    </r>
    <r>
      <rPr>
        <sz val="11"/>
        <rFont val="맑은 고딕"/>
        <family val="0"/>
        <charset val="1"/>
      </rPr>
      <t xml:space="preserve">× A + B </t>
    </r>
    <r>
      <rPr>
        <sz val="11"/>
        <rFont val="WenQuanYi Zen Hei"/>
        <family val="2"/>
      </rPr>
      <t xml:space="preserve">의 </t>
    </r>
    <r>
      <rPr>
        <sz val="11"/>
        <rFont val="맑은 고딕"/>
        <family val="0"/>
        <charset val="1"/>
      </rPr>
      <t xml:space="preserve">B</t>
    </r>
  </si>
  <si>
    <r>
      <rPr>
        <sz val="11"/>
        <rFont val="WenQuanYi Zen Hei"/>
        <family val="2"/>
      </rPr>
      <t xml:space="preserve">목표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일반 귀신 처치 시간 </t>
    </r>
    <r>
      <rPr>
        <sz val="11"/>
        <rFont val="맑은 고딕"/>
        <family val="0"/>
        <charset val="1"/>
      </rPr>
      <t xml:space="preserve">(</t>
    </r>
    <r>
      <rPr>
        <sz val="11"/>
        <rFont val="WenQuanYi Zen Hei"/>
        <family val="2"/>
      </rPr>
      <t xml:space="preserve">초</t>
    </r>
    <r>
      <rPr>
        <sz val="11"/>
        <rFont val="맑은 고딕"/>
        <family val="0"/>
        <charset val="1"/>
      </rPr>
      <t xml:space="preserve">)</t>
    </r>
  </si>
  <si>
    <t xml:space="preserve">그래프에서 비교할 목표선</t>
  </si>
  <si>
    <r>
      <rPr>
        <sz val="11"/>
        <rFont val="WenQuanYi Zen Hei"/>
        <family val="2"/>
      </rPr>
      <t xml:space="preserve">목표</t>
    </r>
    <r>
      <rPr>
        <sz val="11"/>
        <rFont val="맑은 고딕"/>
        <family val="0"/>
        <charset val="1"/>
      </rPr>
      <t xml:space="preserve">: </t>
    </r>
    <r>
      <rPr>
        <sz val="11"/>
        <rFont val="WenQuanYi Zen Hei"/>
        <family val="2"/>
      </rPr>
      <t xml:space="preserve">같은 레벨 귀신에게 버티는 타수</t>
    </r>
  </si>
  <si>
    <t xml:space="preserve">기준 귀신 기본 체력</t>
  </si>
  <si>
    <t xml:space="preserve">기준 귀신 기본 피해</t>
  </si>
  <si>
    <r>
      <rPr>
        <sz val="11"/>
        <color rgb="FF000000"/>
        <rFont val="WenQuanYi Zen Hei"/>
        <family val="2"/>
      </rPr>
      <t xml:space="preserve">기준 귀신 공격 간격 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초</t>
    </r>
    <r>
      <rPr>
        <sz val="11"/>
        <color rgb="FF000000"/>
        <rFont val="맑은 고딕"/>
        <family val="0"/>
        <charset val="1"/>
      </rPr>
      <t xml:space="preserve">)</t>
    </r>
  </si>
  <si>
    <r>
      <rPr>
        <sz val="11"/>
        <color rgb="FF000000"/>
        <rFont val="WenQuanYi Zen Hei"/>
        <family val="2"/>
      </rPr>
      <t xml:space="preserve">기준 귀신 방어력 </t>
    </r>
    <r>
      <rPr>
        <sz val="11"/>
        <color rgb="FF000000"/>
        <rFont val="맑은 고딕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물리 피해 감소에 미사용</t>
    </r>
    <r>
      <rPr>
        <sz val="11"/>
        <color rgb="FF000000"/>
        <rFont val="맑은 고딕"/>
        <family val="0"/>
        <charset val="1"/>
      </rPr>
      <t xml:space="preserve">, </t>
    </r>
    <r>
      <rPr>
        <sz val="11"/>
        <color rgb="FF000000"/>
        <rFont val="WenQuanYi Zen Hei"/>
        <family val="2"/>
      </rPr>
      <t xml:space="preserve">참고</t>
    </r>
    <r>
      <rPr>
        <sz val="11"/>
        <color rgb="FF000000"/>
        <rFont val="맑은 고딕"/>
        <family val="0"/>
        <charset val="1"/>
      </rPr>
      <t xml:space="preserve">)</t>
    </r>
  </si>
  <si>
    <t xml:space="preserve">WeaponAvg</t>
  </si>
  <si>
    <t xml:space="preserve">AddedPct</t>
  </si>
  <si>
    <t xml:space="preserve">CritMult</t>
  </si>
  <si>
    <t xml:space="preserve">PlayerDPS</t>
  </si>
  <si>
    <t xml:space="preserve">EnemyHealth</t>
  </si>
  <si>
    <t xml:space="preserve">TimeToKill(s)</t>
  </si>
  <si>
    <t xml:space="preserve">PhysReduction</t>
  </si>
  <si>
    <t xml:space="preserve">DamageTaken</t>
  </si>
  <si>
    <t xml:space="preserve">HitsToDie</t>
  </si>
  <si>
    <t xml:space="preserve">SurviveSec</t>
  </si>
  <si>
    <r>
      <rPr>
        <b val="true"/>
        <sz val="11"/>
        <color rgb="FFFFFFFF"/>
        <rFont val="맑은 고딕"/>
        <family val="0"/>
        <charset val="1"/>
      </rPr>
      <t xml:space="preserve">TTK</t>
    </r>
    <r>
      <rPr>
        <b val="true"/>
        <sz val="11"/>
        <color rgb="FFFFFFFF"/>
        <rFont val="WenQuanYi Zen Hei"/>
        <family val="2"/>
      </rPr>
      <t xml:space="preserve">목표</t>
    </r>
  </si>
  <si>
    <t xml:space="preserve">타수목표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</si>
</sst>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"/>
    <numFmt numFmtId="167" formatCode="0%"/>
    <numFmt numFmtId="168" formatCode="#,##0"/>
    <numFmt numFmtId="169" formatCode="0.0"/>
    <numFmt numFmtId="170" formatCode="0.000"/>
    <numFmt numFmtId="171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맑은 고딕"/>
      <family val="0"/>
      <charset val="1"/>
    </font>
    <font>
      <sz val="11"/>
      <color theme="1"/>
      <name val="맑은 고딕"/>
      <family val="0"/>
      <charset val="1"/>
    </font>
    <font>
      <sz val="11"/>
      <name val="WenQuanYi Zen Hei"/>
      <family val="2"/>
    </font>
    <font>
      <sz val="11"/>
      <name val="맑은 고딕"/>
      <family val="0"/>
      <charset val="1"/>
    </font>
    <font>
      <b val="true"/>
      <sz val="11"/>
      <name val="WenQuanYi Zen Hei"/>
      <family val="2"/>
    </font>
    <font>
      <sz val="11"/>
      <color rgb="FF0000FF"/>
      <name val="WenQuanYi Zen Hei"/>
      <family val="2"/>
    </font>
    <font>
      <sz val="11"/>
      <color rgb="FF0000FF"/>
      <name val="맑은 고딕"/>
      <family val="0"/>
      <charset val="1"/>
    </font>
    <font>
      <sz val="11"/>
      <color rgb="FF008000"/>
      <name val="WenQuanYi Zen Hei"/>
      <family val="2"/>
    </font>
    <font>
      <b val="true"/>
      <sz val="11"/>
      <color rgb="FFFFFFFF"/>
      <name val="WenQuanYi Zen Hei"/>
      <family val="2"/>
    </font>
    <font>
      <sz val="11"/>
      <color rgb="FF000000"/>
      <name val="맑은 고딕"/>
      <family val="0"/>
      <charset val="1"/>
    </font>
    <font>
      <sz val="11"/>
      <color rgb="FF000000"/>
      <name val="WenQuanYi Zen Hei"/>
      <family val="2"/>
    </font>
    <font>
      <b val="true"/>
      <sz val="11"/>
      <color rgb="FFFFFFFF"/>
      <name val="맑은 고딕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sz val="11"/>
      <color rgb="FF7F7F7F"/>
      <name val="WenQuanYi Zen Hei"/>
      <family val="2"/>
    </font>
    <font>
      <sz val="11"/>
      <color rgb="FF7F7F7F"/>
      <name val="맑은 고딕"/>
      <family val="0"/>
      <charset val="1"/>
    </font>
    <font>
      <sz val="11"/>
      <color rgb="FF008000"/>
      <name val="맑은 고딕"/>
      <family val="0"/>
      <charset val="1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3A3A38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A3A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일반 귀신 1마리 처치 시간 (초)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전투시뮬!I20</c:f>
              <c:strCache>
                <c:ptCount val="1"/>
                <c:pt idx="0">
                  <c:v>TimeToKill(s)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전투시뮬!$A$21:$A$70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strCache>
            </c:strRef>
          </c:cat>
          <c:val>
            <c:numRef>
              <c:f>전투시뮬!$I$21:$I$70</c:f>
              <c:numCache>
                <c:formatCode>0.00</c:formatCode>
                <c:ptCount val="50"/>
                <c:pt idx="0">
                  <c:v>3.97951029738085</c:v>
                </c:pt>
                <c:pt idx="1">
                  <c:v>3.91476286156191</c:v>
                </c:pt>
                <c:pt idx="2">
                  <c:v>3.85250182072341</c:v>
                </c:pt>
                <c:pt idx="3">
                  <c:v>3.7925891946317</c:v>
                </c:pt>
                <c:pt idx="4">
                  <c:v>3.73489703859079</c:v>
                </c:pt>
                <c:pt idx="5">
                  <c:v>3.67930654741436</c:v>
                </c:pt>
                <c:pt idx="6">
                  <c:v>3.62570725371655</c:v>
                </c:pt>
                <c:pt idx="7">
                  <c:v>3.57399630913816</c:v>
                </c:pt>
                <c:pt idx="8">
                  <c:v>3.52407783866851</c:v>
                </c:pt>
                <c:pt idx="9">
                  <c:v>3.47586235953511</c:v>
                </c:pt>
                <c:pt idx="10">
                  <c:v>3.42926625725178</c:v>
                </c:pt>
                <c:pt idx="11">
                  <c:v>3.38421131237176</c:v>
                </c:pt>
                <c:pt idx="12">
                  <c:v>3.34062427231193</c:v>
                </c:pt>
                <c:pt idx="13">
                  <c:v>3.29843646331861</c:v>
                </c:pt>
                <c:pt idx="14">
                  <c:v>3.25758343825184</c:v>
                </c:pt>
                <c:pt idx="15">
                  <c:v>3.2180046563893</c:v>
                </c:pt>
                <c:pt idx="16">
                  <c:v>3.17964319190448</c:v>
                </c:pt>
                <c:pt idx="17">
                  <c:v>3.14244546806749</c:v>
                </c:pt>
                <c:pt idx="18">
                  <c:v>3.10636101455866</c:v>
                </c:pt>
                <c:pt idx="19">
                  <c:v>3.07134224558405</c:v>
                </c:pt>
                <c:pt idx="20">
                  <c:v>3.03734425674159</c:v>
                </c:pt>
                <c:pt idx="21">
                  <c:v>3.0043246388152</c:v>
                </c:pt>
                <c:pt idx="22">
                  <c:v>2.97224330687336</c:v>
                </c:pt>
                <c:pt idx="23">
                  <c:v>2.94106234322471</c:v>
                </c:pt>
                <c:pt idx="24">
                  <c:v>2.91074585293712</c:v>
                </c:pt>
                <c:pt idx="25">
                  <c:v>2.88125983076316</c:v>
                </c:pt>
                <c:pt idx="26">
                  <c:v>2.85257203843506</c:v>
                </c:pt>
                <c:pt idx="27">
                  <c:v>2.82465189139851</c:v>
                </c:pt>
                <c:pt idx="28">
                  <c:v>2.79747035414894</c:v>
                </c:pt>
                <c:pt idx="29">
                  <c:v>2.77099984341764</c:v>
                </c:pt>
                <c:pt idx="30">
                  <c:v>2.7452141385292</c:v>
                </c:pt>
                <c:pt idx="31">
                  <c:v>2.72008829831832</c:v>
                </c:pt>
                <c:pt idx="32">
                  <c:v>2.69559858405242</c:v>
                </c:pt>
                <c:pt idx="33">
                  <c:v>2.67172238786003</c:v>
                </c:pt>
                <c:pt idx="34">
                  <c:v>2.64843816621109</c:v>
                </c:pt>
                <c:pt idx="35">
                  <c:v>2.62572537803831</c:v>
                </c:pt>
                <c:pt idx="36">
                  <c:v>2.60356442712597</c:v>
                </c:pt>
                <c:pt idx="37">
                  <c:v>2.58193660842674</c:v>
                </c:pt>
                <c:pt idx="38">
                  <c:v>2.56082405799768</c:v>
                </c:pt>
                <c:pt idx="39">
                  <c:v>2.54020970627376</c:v>
                </c:pt>
                <c:pt idx="40">
                  <c:v>2.52007723442228</c:v>
                </c:pt>
                <c:pt idx="41">
                  <c:v>2.5004110335438</c:v>
                </c:pt>
                <c:pt idx="42">
                  <c:v>2.4811961665052</c:v>
                </c:pt>
                <c:pt idx="43">
                  <c:v>2.46241833220898</c:v>
                </c:pt>
                <c:pt idx="44">
                  <c:v>2.44406383211923</c:v>
                </c:pt>
                <c:pt idx="45">
                  <c:v>2.42611953887972</c:v>
                </c:pt>
                <c:pt idx="46">
                  <c:v>2.40857286687318</c:v>
                </c:pt>
                <c:pt idx="47">
                  <c:v>2.39141174458303</c:v>
                </c:pt>
                <c:pt idx="48">
                  <c:v>2.37462458863025</c:v>
                </c:pt>
                <c:pt idx="49">
                  <c:v>2.3582002793679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전투시뮬!P20</c:f>
              <c:strCache>
                <c:ptCount val="1"/>
                <c:pt idx="0">
                  <c:v>TTK목표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전투시뮬!$A$21:$A$70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strCache>
            </c:strRef>
          </c:cat>
          <c:val>
            <c:numRef>
              <c:f>전투시뮬!$P$21:$P$70</c:f>
              <c:numCache>
                <c:formatCode>0.0</c:formatCode>
                <c:ptCount val="50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  <c:pt idx="32">
                  <c:v>2.5</c:v>
                </c:pt>
                <c:pt idx="33">
                  <c:v>2.5</c:v>
                </c:pt>
                <c:pt idx="34">
                  <c:v>2.5</c:v>
                </c:pt>
                <c:pt idx="35">
                  <c:v>2.5</c:v>
                </c:pt>
                <c:pt idx="36">
                  <c:v>2.5</c:v>
                </c:pt>
                <c:pt idx="37">
                  <c:v>2.5</c:v>
                </c:pt>
                <c:pt idx="38">
                  <c:v>2.5</c:v>
                </c:pt>
                <c:pt idx="39">
                  <c:v>2.5</c:v>
                </c:pt>
                <c:pt idx="40">
                  <c:v>2.5</c:v>
                </c:pt>
                <c:pt idx="41">
                  <c:v>2.5</c:v>
                </c:pt>
                <c:pt idx="42">
                  <c:v>2.5</c:v>
                </c:pt>
                <c:pt idx="43">
                  <c:v>2.5</c:v>
                </c:pt>
                <c:pt idx="44">
                  <c:v>2.5</c:v>
                </c:pt>
                <c:pt idx="45">
                  <c:v>2.5</c:v>
                </c:pt>
                <c:pt idx="46">
                  <c:v>2.5</c:v>
                </c:pt>
                <c:pt idx="47">
                  <c:v>2.5</c:v>
                </c:pt>
                <c:pt idx="48">
                  <c:v>2.5</c:v>
                </c:pt>
                <c:pt idx="49">
                  <c:v>2.5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354353"/>
        <c:axId val="80361097"/>
      </c:lineChart>
      <c:catAx>
        <c:axId val="963543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레벨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61097"/>
        <c:crosses val="autoZero"/>
        <c:auto val="1"/>
        <c:lblAlgn val="ctr"/>
        <c:lblOffset val="100"/>
        <c:noMultiLvlLbl val="0"/>
      </c:catAx>
      <c:valAx>
        <c:axId val="803610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5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같은 레벨 귀신에게 몇 대 맞으면 죽나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전투시뮬!N20</c:f>
              <c:strCache>
                <c:ptCount val="1"/>
                <c:pt idx="0">
                  <c:v>HitsToDie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전투시뮬!$A$21:$A$70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strCache>
            </c:strRef>
          </c:cat>
          <c:val>
            <c:numRef>
              <c:f>전투시뮬!$N$21:$N$70</c:f>
              <c:numCache>
                <c:formatCode>0.0</c:formatCode>
                <c:ptCount val="50"/>
                <c:pt idx="0">
                  <c:v>34.0246153846154</c:v>
                </c:pt>
                <c:pt idx="1">
                  <c:v>36.4036697247706</c:v>
                </c:pt>
                <c:pt idx="2">
                  <c:v>37.9943208749928</c:v>
                </c:pt>
                <c:pt idx="3">
                  <c:v>38.9854379533375</c:v>
                </c:pt>
                <c:pt idx="4">
                  <c:v>39.5017897689953</c:v>
                </c:pt>
                <c:pt idx="5">
                  <c:v>39.6346728832911</c:v>
                </c:pt>
                <c:pt idx="6">
                  <c:v>39.4552013638967</c:v>
                </c:pt>
                <c:pt idx="7">
                  <c:v>39.0209180392235</c:v>
                </c:pt>
                <c:pt idx="8">
                  <c:v>38.3794777205322</c:v>
                </c:pt>
                <c:pt idx="9">
                  <c:v>37.5709068085302</c:v>
                </c:pt>
                <c:pt idx="10">
                  <c:v>36.6291075322812</c:v>
                </c:pt>
                <c:pt idx="11">
                  <c:v>35.582929335245</c:v>
                </c:pt>
                <c:pt idx="12">
                  <c:v>34.4569743949059</c:v>
                </c:pt>
                <c:pt idx="13">
                  <c:v>33.2722292353914</c:v>
                </c:pt>
                <c:pt idx="14">
                  <c:v>32.0465759824427</c:v>
                </c:pt>
                <c:pt idx="15">
                  <c:v>30.7952160989627</c:v>
                </c:pt>
                <c:pt idx="16">
                  <c:v>29.5310277412351</c:v>
                </c:pt>
                <c:pt idx="17">
                  <c:v>28.2648709817528</c:v>
                </c:pt>
                <c:pt idx="18">
                  <c:v>27.0058509168914</c:v>
                </c:pt>
                <c:pt idx="19">
                  <c:v>25.7615459852384</c:v>
                </c:pt>
                <c:pt idx="20">
                  <c:v>24.5382070442596</c:v>
                </c:pt>
                <c:pt idx="21">
                  <c:v>23.3409315367907</c:v>
                </c:pt>
                <c:pt idx="22">
                  <c:v>22.1738162185507</c:v>
                </c:pt>
                <c:pt idx="23">
                  <c:v>21.040091289625</c:v>
                </c:pt>
                <c:pt idx="24">
                  <c:v>19.9422383002183</c:v>
                </c:pt>
                <c:pt idx="25">
                  <c:v>18.8820938356159</c:v>
                </c:pt>
                <c:pt idx="26">
                  <c:v>17.860940695916</c:v>
                </c:pt>
                <c:pt idx="27">
                  <c:v>16.8795880519835</c:v>
                </c:pt>
                <c:pt idx="28">
                  <c:v>15.9384418661773</c:v>
                </c:pt>
                <c:pt idx="29">
                  <c:v>15.0375667049959</c:v>
                </c:pt>
                <c:pt idx="30">
                  <c:v>14.1767399339744</c:v>
                </c:pt>
                <c:pt idx="31">
                  <c:v>13.3554991679725</c:v>
                </c:pt>
                <c:pt idx="32">
                  <c:v>12.5731837487209</c:v>
                </c:pt>
                <c:pt idx="33">
                  <c:v>11.828970933369</c:v>
                </c:pt>
                <c:pt idx="34">
                  <c:v>11.1219074006493</c:v>
                </c:pt>
                <c:pt idx="35">
                  <c:v>10.450936613467</c:v>
                </c:pt>
                <c:pt idx="36">
                  <c:v>9.81492251688255</c:v>
                </c:pt>
                <c:pt idx="37">
                  <c:v>9.21266999750191</c:v>
                </c:pt>
                <c:pt idx="38">
                  <c:v>8.64294248330606</c:v>
                </c:pt>
                <c:pt idx="39">
                  <c:v>8.10447702120471</c:v>
                </c:pt>
                <c:pt idx="40">
                  <c:v>7.59599713243833</c:v>
                </c:pt>
                <c:pt idx="41">
                  <c:v>7.1162237128456</c:v>
                </c:pt>
                <c:pt idx="42">
                  <c:v>6.66388421548947</c:v>
                </c:pt>
                <c:pt idx="43">
                  <c:v>6.23772032679159</c:v>
                </c:pt>
                <c:pt idx="44">
                  <c:v>5.83649432380862</c:v>
                </c:pt>
                <c:pt idx="45">
                  <c:v>5.4589942792867</c:v>
                </c:pt>
                <c:pt idx="46">
                  <c:v>5.10403826237905</c:v>
                </c:pt>
                <c:pt idx="47">
                  <c:v>4.7704776661668</c:v>
                </c:pt>
                <c:pt idx="48">
                  <c:v>4.45719977817063</c:v>
                </c:pt>
                <c:pt idx="49">
                  <c:v>4.16312969669178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전투시뮬!Q20</c:f>
              <c:strCache>
                <c:ptCount val="1"/>
                <c:pt idx="0">
                  <c:v>타수목표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전투시뮬!$A$21:$A$70</c:f>
              <c:strCach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strCache>
            </c:strRef>
          </c:cat>
          <c:val>
            <c:numRef>
              <c:f>전투시뮬!$Q$21:$Q$70</c:f>
              <c:numCache>
                <c:formatCode>0</c:formatCode>
                <c:ptCount val="5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459630"/>
        <c:axId val="78736989"/>
      </c:lineChart>
      <c:catAx>
        <c:axId val="214596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레벨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36989"/>
        <c:crosses val="autoZero"/>
        <c:auto val="1"/>
        <c:lblAlgn val="ctr"/>
        <c:lblOffset val="100"/>
        <c:noMultiLvlLbl val="0"/>
      </c:catAx>
      <c:valAx>
        <c:axId val="787369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타수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596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190440</xdr:rowOff>
    </xdr:from>
    <xdr:to>
      <xdr:col>11</xdr:col>
      <xdr:colOff>558720</xdr:colOff>
      <xdr:row>15</xdr:row>
      <xdr:rowOff>156600</xdr:rowOff>
    </xdr:to>
    <xdr:graphicFrame>
      <xdr:nvGraphicFramePr>
        <xdr:cNvPr id="0" name="Chart 1"/>
        <xdr:cNvGraphicFramePr/>
      </xdr:nvGraphicFramePr>
      <xdr:xfrm>
        <a:off x="507492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0</xdr:row>
      <xdr:rowOff>190440</xdr:rowOff>
    </xdr:from>
    <xdr:to>
      <xdr:col>20</xdr:col>
      <xdr:colOff>416160</xdr:colOff>
      <xdr:row>15</xdr:row>
      <xdr:rowOff>156600</xdr:rowOff>
    </xdr:to>
    <xdr:graphicFrame>
      <xdr:nvGraphicFramePr>
        <xdr:cNvPr id="1" name="Chart 2"/>
        <xdr:cNvGraphicFramePr/>
      </xdr:nvGraphicFramePr>
      <xdr:xfrm>
        <a:off x="1184148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9.4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29.8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3</v>
      </c>
      <c r="B5" s="4"/>
    </row>
    <row r="6" customFormat="false" ht="15" hidden="false" customHeight="false" outlineLevel="0" collapsed="false">
      <c r="A6" s="6" t="s">
        <v>4</v>
      </c>
      <c r="B6" s="7" t="s">
        <v>5</v>
      </c>
    </row>
    <row r="7" customFormat="false" ht="15" hidden="false" customHeight="false" outlineLevel="0" collapsed="false">
      <c r="A7" s="3" t="s">
        <v>6</v>
      </c>
      <c r="B7" s="7" t="s">
        <v>7</v>
      </c>
    </row>
    <row r="8" customFormat="false" ht="15" hidden="false" customHeight="false" outlineLevel="0" collapsed="false">
      <c r="A8" s="8" t="s">
        <v>8</v>
      </c>
      <c r="B8" s="7" t="s">
        <v>9</v>
      </c>
    </row>
    <row r="9" customFormat="false" ht="15" hidden="false" customHeight="false" outlineLevel="0" collapsed="false">
      <c r="A9" s="3"/>
      <c r="B9" s="7"/>
    </row>
    <row r="10" customFormat="false" ht="15" hidden="false" customHeight="false" outlineLevel="0" collapsed="false">
      <c r="A10" s="5" t="s">
        <v>10</v>
      </c>
      <c r="B10" s="7"/>
    </row>
    <row r="11" customFormat="false" ht="15" hidden="false" customHeight="false" outlineLevel="0" collapsed="false">
      <c r="A11" s="3" t="s">
        <v>11</v>
      </c>
      <c r="B11" s="4" t="s">
        <v>12</v>
      </c>
    </row>
    <row r="12" customFormat="false" ht="15" hidden="false" customHeight="false" outlineLevel="0" collapsed="false">
      <c r="A12" s="3" t="s">
        <v>13</v>
      </c>
      <c r="B12" s="7" t="s">
        <v>14</v>
      </c>
    </row>
    <row r="13" customFormat="false" ht="15" hidden="false" customHeight="false" outlineLevel="0" collapsed="false">
      <c r="A13" s="3" t="s">
        <v>15</v>
      </c>
      <c r="B13" s="7" t="s">
        <v>16</v>
      </c>
    </row>
    <row r="14" customFormat="false" ht="15" hidden="false" customHeight="false" outlineLevel="0" collapsed="false">
      <c r="A14" s="3" t="s">
        <v>17</v>
      </c>
      <c r="B14" s="7" t="s">
        <v>18</v>
      </c>
    </row>
    <row r="15" customFormat="false" ht="15" hidden="false" customHeight="false" outlineLevel="0" collapsed="false">
      <c r="A15" s="3" t="s">
        <v>19</v>
      </c>
      <c r="B15" s="4" t="s">
        <v>20</v>
      </c>
    </row>
    <row r="16" customFormat="false" ht="29.85" hidden="false" customHeight="false" outlineLevel="0" collapsed="false">
      <c r="A16" s="3" t="s">
        <v>21</v>
      </c>
      <c r="B16" s="7" t="s">
        <v>22</v>
      </c>
    </row>
    <row r="17" customFormat="false" ht="15" hidden="false" customHeight="false" outlineLevel="0" collapsed="false">
      <c r="A17" s="3"/>
      <c r="B17" s="7"/>
    </row>
    <row r="18" customFormat="false" ht="15" hidden="false" customHeight="false" outlineLevel="0" collapsed="false">
      <c r="A18" s="5" t="s">
        <v>23</v>
      </c>
      <c r="B18" s="7"/>
    </row>
    <row r="19" customFormat="false" ht="15" hidden="false" customHeight="false" outlineLevel="0" collapsed="false">
      <c r="A19" s="9" t="s">
        <v>24</v>
      </c>
      <c r="B19" s="7" t="s">
        <v>25</v>
      </c>
    </row>
    <row r="20" customFormat="false" ht="29.85" hidden="false" customHeight="false" outlineLevel="0" collapsed="false">
      <c r="A20" s="9" t="s">
        <v>26</v>
      </c>
      <c r="B20" s="7" t="s">
        <v>27</v>
      </c>
    </row>
    <row r="21" customFormat="false" ht="29.85" hidden="false" customHeight="false" outlineLevel="0" collapsed="false">
      <c r="A21" s="9" t="s">
        <v>28</v>
      </c>
      <c r="B21" s="4" t="s">
        <v>29</v>
      </c>
    </row>
    <row r="22" customFormat="false" ht="15" hidden="false" customHeight="false" outlineLevel="0" collapsed="false">
      <c r="A22" s="9" t="s">
        <v>30</v>
      </c>
      <c r="B22" s="7" t="s">
        <v>31</v>
      </c>
    </row>
    <row r="23" customFormat="false" ht="15" hidden="false" customHeight="false" outlineLevel="0" collapsed="false">
      <c r="A23" s="3"/>
      <c r="B23" s="7"/>
    </row>
    <row r="24" customFormat="false" ht="44" hidden="false" customHeight="false" outlineLevel="0" collapsed="false">
      <c r="A24" s="5" t="s">
        <v>32</v>
      </c>
      <c r="B24" s="7" t="s">
        <v>33</v>
      </c>
    </row>
    <row r="25" customFormat="false" ht="15" hidden="false" customHeight="false" outlineLevel="0" collapsed="false">
      <c r="A25" s="5" t="s">
        <v>32</v>
      </c>
      <c r="B25" s="7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0" t="s">
        <v>35</v>
      </c>
      <c r="B1" s="10" t="s">
        <v>36</v>
      </c>
      <c r="C1" s="10" t="s">
        <v>37</v>
      </c>
      <c r="D1" s="10" t="s">
        <v>38</v>
      </c>
    </row>
    <row r="2" customFormat="false" ht="15" hidden="false" customHeight="false" outlineLevel="0" collapsed="false">
      <c r="A2" s="11" t="s">
        <v>39</v>
      </c>
      <c r="B2" s="12" t="n">
        <v>1.12</v>
      </c>
      <c r="C2" s="13" t="s">
        <v>40</v>
      </c>
      <c r="D2" s="13" t="s">
        <v>41</v>
      </c>
    </row>
    <row r="3" customFormat="false" ht="15" hidden="false" customHeight="false" outlineLevel="0" collapsed="false">
      <c r="A3" s="11" t="s">
        <v>42</v>
      </c>
      <c r="B3" s="12" t="n">
        <v>1.09</v>
      </c>
      <c r="C3" s="13" t="s">
        <v>40</v>
      </c>
      <c r="D3" s="13" t="s">
        <v>43</v>
      </c>
    </row>
    <row r="4" customFormat="false" ht="15" hidden="false" customHeight="false" outlineLevel="0" collapsed="false">
      <c r="A4" s="11" t="s">
        <v>44</v>
      </c>
      <c r="B4" s="14" t="n">
        <v>15</v>
      </c>
      <c r="C4" s="11"/>
      <c r="D4" s="13" t="s">
        <v>45</v>
      </c>
    </row>
    <row r="5" customFormat="false" ht="15" hidden="false" customHeight="false" outlineLevel="0" collapsed="false">
      <c r="A5" s="11" t="s">
        <v>46</v>
      </c>
      <c r="B5" s="14" t="n">
        <v>50</v>
      </c>
      <c r="C5" s="11"/>
      <c r="D5" s="13" t="s">
        <v>47</v>
      </c>
    </row>
    <row r="6" customFormat="false" ht="15" hidden="false" customHeight="false" outlineLevel="0" collapsed="false">
      <c r="A6" s="11" t="s">
        <v>48</v>
      </c>
      <c r="B6" s="15" t="n">
        <v>0.85</v>
      </c>
      <c r="C6" s="11" t="s">
        <v>49</v>
      </c>
      <c r="D6" s="13" t="s">
        <v>50</v>
      </c>
    </row>
    <row r="7" customFormat="false" ht="15" hidden="false" customHeight="false" outlineLevel="0" collapsed="false">
      <c r="A7" s="11" t="s">
        <v>51</v>
      </c>
      <c r="B7" s="15" t="n">
        <v>0.75</v>
      </c>
      <c r="C7" s="11" t="s">
        <v>49</v>
      </c>
      <c r="D7" s="13" t="s">
        <v>52</v>
      </c>
    </row>
    <row r="8" customFormat="false" ht="15" hidden="false" customHeight="false" outlineLevel="0" collapsed="false">
      <c r="A8" s="11" t="s">
        <v>53</v>
      </c>
      <c r="B8" s="15" t="n">
        <v>0.8</v>
      </c>
      <c r="C8" s="11" t="s">
        <v>49</v>
      </c>
      <c r="D8" s="11" t="s">
        <v>54</v>
      </c>
    </row>
    <row r="9" customFormat="false" ht="15" hidden="false" customHeight="false" outlineLevel="0" collapsed="false">
      <c r="A9" s="11" t="s">
        <v>55</v>
      </c>
      <c r="B9" s="15" t="n">
        <v>0.5</v>
      </c>
      <c r="C9" s="11" t="s">
        <v>49</v>
      </c>
      <c r="D9" s="13" t="s">
        <v>56</v>
      </c>
    </row>
    <row r="10" customFormat="false" ht="15" hidden="false" customHeight="false" outlineLevel="0" collapsed="false">
      <c r="A10" s="11" t="s">
        <v>57</v>
      </c>
      <c r="B10" s="15" t="n">
        <v>0.05</v>
      </c>
      <c r="C10" s="11" t="s">
        <v>49</v>
      </c>
      <c r="D10" s="13" t="s">
        <v>58</v>
      </c>
    </row>
    <row r="11" customFormat="false" ht="15" hidden="false" customHeight="false" outlineLevel="0" collapsed="false">
      <c r="A11" s="11" t="s">
        <v>59</v>
      </c>
      <c r="B11" s="15" t="n">
        <v>0.5</v>
      </c>
      <c r="C11" s="11" t="s">
        <v>49</v>
      </c>
      <c r="D11" s="13" t="s">
        <v>60</v>
      </c>
    </row>
    <row r="12" customFormat="false" ht="15" hidden="false" customHeight="false" outlineLevel="0" collapsed="false">
      <c r="A12" s="11" t="s">
        <v>61</v>
      </c>
      <c r="B12" s="15" t="n">
        <v>0.75</v>
      </c>
      <c r="C12" s="11" t="s">
        <v>49</v>
      </c>
      <c r="D12" s="13" t="s">
        <v>62</v>
      </c>
    </row>
    <row r="13" customFormat="false" ht="15" hidden="false" customHeight="false" outlineLevel="0" collapsed="false">
      <c r="A13" s="11" t="s">
        <v>63</v>
      </c>
      <c r="B13" s="15" t="n">
        <v>1</v>
      </c>
      <c r="C13" s="11" t="s">
        <v>49</v>
      </c>
      <c r="D13" s="13" t="s">
        <v>64</v>
      </c>
    </row>
    <row r="14" customFormat="false" ht="15" hidden="false" customHeight="false" outlineLevel="0" collapsed="false">
      <c r="A14" s="11" t="s">
        <v>65</v>
      </c>
      <c r="B14" s="15" t="n">
        <v>0.4</v>
      </c>
      <c r="C14" s="11" t="s">
        <v>49</v>
      </c>
      <c r="D14" s="13" t="s">
        <v>66</v>
      </c>
    </row>
    <row r="15" customFormat="false" ht="15" hidden="false" customHeight="false" outlineLevel="0" collapsed="false">
      <c r="A15" s="11" t="s">
        <v>67</v>
      </c>
      <c r="B15" s="15" t="n">
        <v>0.4</v>
      </c>
      <c r="C15" s="11" t="s">
        <v>49</v>
      </c>
      <c r="D15" s="13" t="s">
        <v>68</v>
      </c>
    </row>
    <row r="16" customFormat="false" ht="15" hidden="false" customHeight="false" outlineLevel="0" collapsed="false">
      <c r="A16" s="11" t="s">
        <v>69</v>
      </c>
      <c r="B16" s="15" t="n">
        <v>0.5</v>
      </c>
      <c r="C16" s="11" t="s">
        <v>49</v>
      </c>
      <c r="D16" s="13" t="s">
        <v>70</v>
      </c>
    </row>
    <row r="17" customFormat="false" ht="15" hidden="false" customHeight="false" outlineLevel="0" collapsed="false">
      <c r="A17" s="11" t="s">
        <v>71</v>
      </c>
      <c r="B17" s="15" t="n">
        <v>0.03</v>
      </c>
      <c r="C17" s="11" t="s">
        <v>49</v>
      </c>
      <c r="D17" s="13" t="s">
        <v>72</v>
      </c>
    </row>
    <row r="18" customFormat="false" ht="15" hidden="false" customHeight="false" outlineLevel="0" collapsed="false">
      <c r="A18" s="11" t="s">
        <v>73</v>
      </c>
      <c r="B18" s="15" t="n">
        <v>0.45</v>
      </c>
      <c r="C18" s="11" t="s">
        <v>49</v>
      </c>
      <c r="D18" s="13" t="s">
        <v>74</v>
      </c>
    </row>
    <row r="19" customFormat="false" ht="15" hidden="false" customHeight="false" outlineLevel="0" collapsed="false">
      <c r="A19" s="11" t="s">
        <v>75</v>
      </c>
      <c r="B19" s="14" t="n">
        <v>100</v>
      </c>
      <c r="C19" s="11"/>
      <c r="D19" s="13" t="s">
        <v>76</v>
      </c>
    </row>
    <row r="20" customFormat="false" ht="15" hidden="false" customHeight="false" outlineLevel="0" collapsed="false">
      <c r="A20" s="11" t="s">
        <v>77</v>
      </c>
      <c r="B20" s="14" t="n">
        <v>10</v>
      </c>
      <c r="C20" s="11"/>
      <c r="D20" s="13" t="s">
        <v>78</v>
      </c>
    </row>
    <row r="21" customFormat="false" ht="15" hidden="false" customHeight="false" outlineLevel="0" collapsed="false">
      <c r="A21" s="11" t="s">
        <v>79</v>
      </c>
      <c r="B21" s="14" t="n">
        <v>100</v>
      </c>
      <c r="C21" s="11"/>
      <c r="D21" s="13" t="s">
        <v>80</v>
      </c>
    </row>
    <row r="22" customFormat="false" ht="15" hidden="false" customHeight="false" outlineLevel="0" collapsed="false">
      <c r="A22" s="11" t="s">
        <v>81</v>
      </c>
      <c r="B22" s="14" t="n">
        <v>2</v>
      </c>
      <c r="C22" s="11"/>
      <c r="D22" s="13" t="s">
        <v>82</v>
      </c>
    </row>
    <row r="23" customFormat="false" ht="15" hidden="false" customHeight="false" outlineLevel="0" collapsed="false">
      <c r="A23" s="11" t="s">
        <v>83</v>
      </c>
      <c r="B23" s="14" t="n">
        <v>5</v>
      </c>
      <c r="C23" s="11" t="s">
        <v>84</v>
      </c>
      <c r="D23" s="13" t="s">
        <v>85</v>
      </c>
    </row>
    <row r="24" customFormat="false" ht="15" hidden="false" customHeight="false" outlineLevel="0" collapsed="false">
      <c r="A24" s="11" t="s">
        <v>86</v>
      </c>
      <c r="B24" s="14" t="n">
        <v>1</v>
      </c>
      <c r="C24" s="11"/>
      <c r="D24" s="13" t="s">
        <v>87</v>
      </c>
    </row>
    <row r="25" customFormat="false" ht="15" hidden="false" customHeight="false" outlineLevel="0" collapsed="false">
      <c r="A25" s="11" t="s">
        <v>88</v>
      </c>
      <c r="B25" s="14" t="n">
        <v>3</v>
      </c>
      <c r="C25" s="11"/>
      <c r="D25" s="13" t="s">
        <v>89</v>
      </c>
    </row>
    <row r="26" customFormat="false" ht="15" hidden="false" customHeight="false" outlineLevel="0" collapsed="false">
      <c r="A26" s="11" t="s">
        <v>90</v>
      </c>
      <c r="B26" s="12" t="n">
        <v>3</v>
      </c>
      <c r="C26" s="13" t="s">
        <v>40</v>
      </c>
      <c r="D26" s="13" t="s">
        <v>91</v>
      </c>
    </row>
    <row r="27" customFormat="false" ht="15" hidden="false" customHeight="false" outlineLevel="0" collapsed="false">
      <c r="A27" s="11" t="s">
        <v>92</v>
      </c>
      <c r="B27" s="12" t="n">
        <v>1.5</v>
      </c>
      <c r="C27" s="13" t="s">
        <v>40</v>
      </c>
      <c r="D27" s="13" t="s">
        <v>93</v>
      </c>
    </row>
    <row r="28" customFormat="false" ht="15" hidden="false" customHeight="false" outlineLevel="0" collapsed="false">
      <c r="A28" s="11" t="s">
        <v>94</v>
      </c>
      <c r="B28" s="14" t="n">
        <v>2</v>
      </c>
      <c r="C28" s="13" t="s">
        <v>95</v>
      </c>
      <c r="D28" s="13" t="s">
        <v>96</v>
      </c>
    </row>
    <row r="29" customFormat="false" ht="15" hidden="false" customHeight="false" outlineLevel="0" collapsed="false">
      <c r="A29" s="11" t="s">
        <v>97</v>
      </c>
      <c r="B29" s="14" t="n">
        <v>3</v>
      </c>
      <c r="C29" s="13" t="s">
        <v>95</v>
      </c>
      <c r="D29" s="13" t="s">
        <v>98</v>
      </c>
    </row>
    <row r="30" customFormat="false" ht="15" hidden="false" customHeight="false" outlineLevel="0" collapsed="false">
      <c r="A30" s="11" t="s">
        <v>99</v>
      </c>
      <c r="B30" s="14" t="n">
        <v>250</v>
      </c>
      <c r="C30" s="11"/>
      <c r="D30" s="13" t="s">
        <v>100</v>
      </c>
    </row>
    <row r="31" customFormat="false" ht="15" hidden="false" customHeight="false" outlineLevel="0" collapsed="false">
      <c r="A31" s="11" t="s">
        <v>101</v>
      </c>
      <c r="B31" s="14" t="n">
        <v>100</v>
      </c>
      <c r="C31" s="11"/>
      <c r="D31" s="13" t="s">
        <v>102</v>
      </c>
    </row>
    <row r="32" customFormat="false" ht="15" hidden="false" customHeight="false" outlineLevel="0" collapsed="false">
      <c r="A32" s="11" t="s">
        <v>103</v>
      </c>
      <c r="B32" s="12" t="n">
        <v>1.5</v>
      </c>
      <c r="C32" s="11"/>
      <c r="D32" s="13" t="s">
        <v>104</v>
      </c>
    </row>
    <row r="33" customFormat="false" ht="15" hidden="false" customHeight="false" outlineLevel="0" collapsed="false">
      <c r="A33" s="11" t="s">
        <v>105</v>
      </c>
      <c r="B33" s="14" t="n">
        <v>5</v>
      </c>
      <c r="C33" s="13" t="s">
        <v>95</v>
      </c>
      <c r="D33" s="13" t="s">
        <v>106</v>
      </c>
    </row>
    <row r="34" customFormat="false" ht="15" hidden="false" customHeight="false" outlineLevel="0" collapsed="false">
      <c r="A34" s="11" t="s">
        <v>107</v>
      </c>
      <c r="B34" s="12" t="n">
        <v>0.2</v>
      </c>
      <c r="C34" s="13" t="s">
        <v>40</v>
      </c>
      <c r="D34" s="13" t="s">
        <v>108</v>
      </c>
    </row>
    <row r="35" customFormat="false" ht="15" hidden="false" customHeight="false" outlineLevel="0" collapsed="false">
      <c r="A35" s="11" t="s">
        <v>109</v>
      </c>
      <c r="B35" s="14" t="n">
        <v>50</v>
      </c>
      <c r="C35" s="13" t="s">
        <v>95</v>
      </c>
      <c r="D35" s="13" t="s">
        <v>110</v>
      </c>
    </row>
    <row r="36" customFormat="false" ht="15" hidden="false" customHeight="false" outlineLevel="0" collapsed="false">
      <c r="A36" s="11" t="s">
        <v>111</v>
      </c>
      <c r="B36" s="14" t="n">
        <v>12</v>
      </c>
      <c r="C36" s="11"/>
      <c r="D36" s="13" t="s">
        <v>112</v>
      </c>
    </row>
    <row r="37" customFormat="false" ht="15" hidden="false" customHeight="false" outlineLevel="0" collapsed="false">
      <c r="A37" s="11" t="s">
        <v>113</v>
      </c>
      <c r="B37" s="14" t="n">
        <v>2</v>
      </c>
      <c r="C37" s="11"/>
      <c r="D37" s="13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6"/>
  </cols>
  <sheetData>
    <row r="1" customFormat="false" ht="29.85" hidden="false" customHeight="false" outlineLevel="0" collapsed="false">
      <c r="A1" s="16" t="s">
        <v>115</v>
      </c>
      <c r="B1" s="16" t="s">
        <v>116</v>
      </c>
      <c r="C1" s="16" t="s">
        <v>117</v>
      </c>
      <c r="D1" s="16" t="s">
        <v>118</v>
      </c>
      <c r="E1" s="16" t="s">
        <v>119</v>
      </c>
      <c r="F1" s="16" t="s">
        <v>120</v>
      </c>
      <c r="G1" s="16" t="s">
        <v>121</v>
      </c>
      <c r="H1" s="16" t="s">
        <v>122</v>
      </c>
    </row>
    <row r="2" customFormat="false" ht="15" hidden="false" customHeight="false" outlineLevel="0" collapsed="false">
      <c r="A2" s="11" t="n">
        <v>1</v>
      </c>
      <c r="B2" s="17" t="n">
        <f aca="false">상수!$B$2^(A2-1)</f>
        <v>1</v>
      </c>
      <c r="C2" s="17" t="n">
        <f aca="false">상수!$B$3^(A2-1)</f>
        <v>1</v>
      </c>
      <c r="D2" s="18" t="n">
        <f aca="false">IF(A2&lt;=상수!$B$35,상수!$B$19+상수!$B$20*A2,"")</f>
        <v>110</v>
      </c>
      <c r="E2" s="18" t="n">
        <f aca="false">IF(A2&lt;=상수!$B$35,상수!$B$21+상수!$B$22*A2,"")</f>
        <v>102</v>
      </c>
      <c r="F2" s="19" t="n">
        <f aca="false">IF(A2&lt;상수!$B$35,ROUND(상수!$B$31*A2^상수!$B$32,0),"")</f>
        <v>100</v>
      </c>
      <c r="G2" s="19" t="n">
        <f aca="false">0</f>
        <v>0</v>
      </c>
      <c r="H2" s="18" t="n">
        <f aca="false">상수!$B$4*A2+상수!$B$5</f>
        <v>65</v>
      </c>
    </row>
    <row r="3" customFormat="false" ht="15" hidden="false" customHeight="false" outlineLevel="0" collapsed="false">
      <c r="A3" s="11" t="n">
        <v>2</v>
      </c>
      <c r="B3" s="17" t="n">
        <f aca="false">상수!$B$2^(A3-1)</f>
        <v>1.12</v>
      </c>
      <c r="C3" s="17" t="n">
        <f aca="false">상수!$B$3^(A3-1)</f>
        <v>1.09</v>
      </c>
      <c r="D3" s="18" t="n">
        <f aca="false">IF(A3&lt;=상수!$B$35,상수!$B$19+상수!$B$20*A3,"")</f>
        <v>120</v>
      </c>
      <c r="E3" s="18" t="n">
        <f aca="false">IF(A3&lt;=상수!$B$35,상수!$B$21+상수!$B$22*A3,"")</f>
        <v>104</v>
      </c>
      <c r="F3" s="19" t="n">
        <f aca="false">IF(A3&lt;상수!$B$35,ROUND(상수!$B$31*A3^상수!$B$32,0),"")</f>
        <v>283</v>
      </c>
      <c r="G3" s="19" t="n">
        <f aca="false">IF(A3&lt;=상수!$B$35,G2+F2,"")</f>
        <v>100</v>
      </c>
      <c r="H3" s="18" t="n">
        <f aca="false">상수!$B$4*A3+상수!$B$5</f>
        <v>80</v>
      </c>
    </row>
    <row r="4" customFormat="false" ht="15" hidden="false" customHeight="false" outlineLevel="0" collapsed="false">
      <c r="A4" s="11" t="n">
        <v>3</v>
      </c>
      <c r="B4" s="17" t="n">
        <f aca="false">상수!$B$2^(A4-1)</f>
        <v>1.2544</v>
      </c>
      <c r="C4" s="17" t="n">
        <f aca="false">상수!$B$3^(A4-1)</f>
        <v>1.1881</v>
      </c>
      <c r="D4" s="18" t="n">
        <f aca="false">IF(A4&lt;=상수!$B$35,상수!$B$19+상수!$B$20*A4,"")</f>
        <v>130</v>
      </c>
      <c r="E4" s="18" t="n">
        <f aca="false">IF(A4&lt;=상수!$B$35,상수!$B$21+상수!$B$22*A4,"")</f>
        <v>106</v>
      </c>
      <c r="F4" s="19" t="n">
        <f aca="false">IF(A4&lt;상수!$B$35,ROUND(상수!$B$31*A4^상수!$B$32,0),"")</f>
        <v>520</v>
      </c>
      <c r="G4" s="19" t="n">
        <f aca="false">IF(A4&lt;=상수!$B$35,G3+F3,"")</f>
        <v>383</v>
      </c>
      <c r="H4" s="18" t="n">
        <f aca="false">상수!$B$4*A4+상수!$B$5</f>
        <v>95</v>
      </c>
    </row>
    <row r="5" customFormat="false" ht="15" hidden="false" customHeight="false" outlineLevel="0" collapsed="false">
      <c r="A5" s="11" t="n">
        <v>4</v>
      </c>
      <c r="B5" s="17" t="n">
        <f aca="false">상수!$B$2^(A5-1)</f>
        <v>1.404928</v>
      </c>
      <c r="C5" s="17" t="n">
        <f aca="false">상수!$B$3^(A5-1)</f>
        <v>1.295029</v>
      </c>
      <c r="D5" s="18" t="n">
        <f aca="false">IF(A5&lt;=상수!$B$35,상수!$B$19+상수!$B$20*A5,"")</f>
        <v>140</v>
      </c>
      <c r="E5" s="18" t="n">
        <f aca="false">IF(A5&lt;=상수!$B$35,상수!$B$21+상수!$B$22*A5,"")</f>
        <v>108</v>
      </c>
      <c r="F5" s="19" t="n">
        <f aca="false">IF(A5&lt;상수!$B$35,ROUND(상수!$B$31*A5^상수!$B$32,0),"")</f>
        <v>800</v>
      </c>
      <c r="G5" s="19" t="n">
        <f aca="false">IF(A5&lt;=상수!$B$35,G4+F4,"")</f>
        <v>903</v>
      </c>
      <c r="H5" s="18" t="n">
        <f aca="false">상수!$B$4*A5+상수!$B$5</f>
        <v>110</v>
      </c>
    </row>
    <row r="6" customFormat="false" ht="15" hidden="false" customHeight="false" outlineLevel="0" collapsed="false">
      <c r="A6" s="11" t="n">
        <v>5</v>
      </c>
      <c r="B6" s="17" t="n">
        <f aca="false">상수!$B$2^(A6-1)</f>
        <v>1.57351936</v>
      </c>
      <c r="C6" s="17" t="n">
        <f aca="false">상수!$B$3^(A6-1)</f>
        <v>1.41158161</v>
      </c>
      <c r="D6" s="18" t="n">
        <f aca="false">IF(A6&lt;=상수!$B$35,상수!$B$19+상수!$B$20*A6,"")</f>
        <v>150</v>
      </c>
      <c r="E6" s="18" t="n">
        <f aca="false">IF(A6&lt;=상수!$B$35,상수!$B$21+상수!$B$22*A6,"")</f>
        <v>110</v>
      </c>
      <c r="F6" s="19" t="n">
        <f aca="false">IF(A6&lt;상수!$B$35,ROUND(상수!$B$31*A6^상수!$B$32,0),"")</f>
        <v>1118</v>
      </c>
      <c r="G6" s="19" t="n">
        <f aca="false">IF(A6&lt;=상수!$B$35,G5+F5,"")</f>
        <v>1703</v>
      </c>
      <c r="H6" s="18" t="n">
        <f aca="false">상수!$B$4*A6+상수!$B$5</f>
        <v>125</v>
      </c>
    </row>
    <row r="7" customFormat="false" ht="15" hidden="false" customHeight="false" outlineLevel="0" collapsed="false">
      <c r="A7" s="11" t="n">
        <v>6</v>
      </c>
      <c r="B7" s="17" t="n">
        <f aca="false">상수!$B$2^(A7-1)</f>
        <v>1.7623416832</v>
      </c>
      <c r="C7" s="17" t="n">
        <f aca="false">상수!$B$3^(A7-1)</f>
        <v>1.5386239549</v>
      </c>
      <c r="D7" s="18" t="n">
        <f aca="false">IF(A7&lt;=상수!$B$35,상수!$B$19+상수!$B$20*A7,"")</f>
        <v>160</v>
      </c>
      <c r="E7" s="18" t="n">
        <f aca="false">IF(A7&lt;=상수!$B$35,상수!$B$21+상수!$B$22*A7,"")</f>
        <v>112</v>
      </c>
      <c r="F7" s="19" t="n">
        <f aca="false">IF(A7&lt;상수!$B$35,ROUND(상수!$B$31*A7^상수!$B$32,0),"")</f>
        <v>1470</v>
      </c>
      <c r="G7" s="19" t="n">
        <f aca="false">IF(A7&lt;=상수!$B$35,G6+F6,"")</f>
        <v>2821</v>
      </c>
      <c r="H7" s="18" t="n">
        <f aca="false">상수!$B$4*A7+상수!$B$5</f>
        <v>140</v>
      </c>
    </row>
    <row r="8" customFormat="false" ht="15" hidden="false" customHeight="false" outlineLevel="0" collapsed="false">
      <c r="A8" s="11" t="n">
        <v>7</v>
      </c>
      <c r="B8" s="17" t="n">
        <f aca="false">상수!$B$2^(A8-1)</f>
        <v>1.973822685184</v>
      </c>
      <c r="C8" s="17" t="n">
        <f aca="false">상수!$B$3^(A8-1)</f>
        <v>1.677100110841</v>
      </c>
      <c r="D8" s="18" t="n">
        <f aca="false">IF(A8&lt;=상수!$B$35,상수!$B$19+상수!$B$20*A8,"")</f>
        <v>170</v>
      </c>
      <c r="E8" s="18" t="n">
        <f aca="false">IF(A8&lt;=상수!$B$35,상수!$B$21+상수!$B$22*A8,"")</f>
        <v>114</v>
      </c>
      <c r="F8" s="19" t="n">
        <f aca="false">IF(A8&lt;상수!$B$35,ROUND(상수!$B$31*A8^상수!$B$32,0),"")</f>
        <v>1852</v>
      </c>
      <c r="G8" s="19" t="n">
        <f aca="false">IF(A8&lt;=상수!$B$35,G7+F7,"")</f>
        <v>4291</v>
      </c>
      <c r="H8" s="18" t="n">
        <f aca="false">상수!$B$4*A8+상수!$B$5</f>
        <v>155</v>
      </c>
    </row>
    <row r="9" customFormat="false" ht="15" hidden="false" customHeight="false" outlineLevel="0" collapsed="false">
      <c r="A9" s="11" t="n">
        <v>8</v>
      </c>
      <c r="B9" s="17" t="n">
        <f aca="false">상수!$B$2^(A9-1)</f>
        <v>2.21068140740608</v>
      </c>
      <c r="C9" s="17" t="n">
        <f aca="false">상수!$B$3^(A9-1)</f>
        <v>1.82803912081669</v>
      </c>
      <c r="D9" s="18" t="n">
        <f aca="false">IF(A9&lt;=상수!$B$35,상수!$B$19+상수!$B$20*A9,"")</f>
        <v>180</v>
      </c>
      <c r="E9" s="18" t="n">
        <f aca="false">IF(A9&lt;=상수!$B$35,상수!$B$21+상수!$B$22*A9,"")</f>
        <v>116</v>
      </c>
      <c r="F9" s="19" t="n">
        <f aca="false">IF(A9&lt;상수!$B$35,ROUND(상수!$B$31*A9^상수!$B$32,0),"")</f>
        <v>2263</v>
      </c>
      <c r="G9" s="19" t="n">
        <f aca="false">IF(A9&lt;=상수!$B$35,G8+F8,"")</f>
        <v>6143</v>
      </c>
      <c r="H9" s="18" t="n">
        <f aca="false">상수!$B$4*A9+상수!$B$5</f>
        <v>170</v>
      </c>
    </row>
    <row r="10" customFormat="false" ht="15" hidden="false" customHeight="false" outlineLevel="0" collapsed="false">
      <c r="A10" s="11" t="n">
        <v>9</v>
      </c>
      <c r="B10" s="17" t="n">
        <f aca="false">상수!$B$2^(A10-1)</f>
        <v>2.47596317629481</v>
      </c>
      <c r="C10" s="17" t="n">
        <f aca="false">상수!$B$3^(A10-1)</f>
        <v>1.99256264169019</v>
      </c>
      <c r="D10" s="18" t="n">
        <f aca="false">IF(A10&lt;=상수!$B$35,상수!$B$19+상수!$B$20*A10,"")</f>
        <v>190</v>
      </c>
      <c r="E10" s="18" t="n">
        <f aca="false">IF(A10&lt;=상수!$B$35,상수!$B$21+상수!$B$22*A10,"")</f>
        <v>118</v>
      </c>
      <c r="F10" s="19" t="n">
        <f aca="false">IF(A10&lt;상수!$B$35,ROUND(상수!$B$31*A10^상수!$B$32,0),"")</f>
        <v>2700</v>
      </c>
      <c r="G10" s="19" t="n">
        <f aca="false">IF(A10&lt;=상수!$B$35,G9+F9,"")</f>
        <v>8406</v>
      </c>
      <c r="H10" s="18" t="n">
        <f aca="false">상수!$B$4*A10+상수!$B$5</f>
        <v>185</v>
      </c>
    </row>
    <row r="11" customFormat="false" ht="15" hidden="false" customHeight="false" outlineLevel="0" collapsed="false">
      <c r="A11" s="11" t="n">
        <v>10</v>
      </c>
      <c r="B11" s="17" t="n">
        <f aca="false">상수!$B$2^(A11-1)</f>
        <v>2.77307875745019</v>
      </c>
      <c r="C11" s="17" t="n">
        <f aca="false">상수!$B$3^(A11-1)</f>
        <v>2.17189327944231</v>
      </c>
      <c r="D11" s="18" t="n">
        <f aca="false">IF(A11&lt;=상수!$B$35,상수!$B$19+상수!$B$20*A11,"")</f>
        <v>200</v>
      </c>
      <c r="E11" s="18" t="n">
        <f aca="false">IF(A11&lt;=상수!$B$35,상수!$B$21+상수!$B$22*A11,"")</f>
        <v>120</v>
      </c>
      <c r="F11" s="19" t="n">
        <f aca="false">IF(A11&lt;상수!$B$35,ROUND(상수!$B$31*A11^상수!$B$32,0),"")</f>
        <v>3162</v>
      </c>
      <c r="G11" s="19" t="n">
        <f aca="false">IF(A11&lt;=상수!$B$35,G10+F10,"")</f>
        <v>11106</v>
      </c>
      <c r="H11" s="18" t="n">
        <f aca="false">상수!$B$4*A11+상수!$B$5</f>
        <v>200</v>
      </c>
    </row>
    <row r="12" customFormat="false" ht="15" hidden="false" customHeight="false" outlineLevel="0" collapsed="false">
      <c r="A12" s="11" t="n">
        <v>11</v>
      </c>
      <c r="B12" s="17" t="n">
        <f aca="false">상수!$B$2^(A12-1)</f>
        <v>3.10584820834421</v>
      </c>
      <c r="C12" s="17" t="n">
        <f aca="false">상수!$B$3^(A12-1)</f>
        <v>2.36736367459212</v>
      </c>
      <c r="D12" s="18" t="n">
        <f aca="false">IF(A12&lt;=상수!$B$35,상수!$B$19+상수!$B$20*A12,"")</f>
        <v>210</v>
      </c>
      <c r="E12" s="18" t="n">
        <f aca="false">IF(A12&lt;=상수!$B$35,상수!$B$21+상수!$B$22*A12,"")</f>
        <v>122</v>
      </c>
      <c r="F12" s="19" t="n">
        <f aca="false">IF(A12&lt;상수!$B$35,ROUND(상수!$B$31*A12^상수!$B$32,0),"")</f>
        <v>3648</v>
      </c>
      <c r="G12" s="19" t="n">
        <f aca="false">IF(A12&lt;=상수!$B$35,G11+F11,"")</f>
        <v>14268</v>
      </c>
      <c r="H12" s="18" t="n">
        <f aca="false">상수!$B$4*A12+상수!$B$5</f>
        <v>215</v>
      </c>
    </row>
    <row r="13" customFormat="false" ht="15" hidden="false" customHeight="false" outlineLevel="0" collapsed="false">
      <c r="A13" s="11" t="n">
        <v>12</v>
      </c>
      <c r="B13" s="17" t="n">
        <f aca="false">상수!$B$2^(A13-1)</f>
        <v>3.47854999334552</v>
      </c>
      <c r="C13" s="17" t="n">
        <f aca="false">상수!$B$3^(A13-1)</f>
        <v>2.58042640530541</v>
      </c>
      <c r="D13" s="18" t="n">
        <f aca="false">IF(A13&lt;=상수!$B$35,상수!$B$19+상수!$B$20*A13,"")</f>
        <v>220</v>
      </c>
      <c r="E13" s="18" t="n">
        <f aca="false">IF(A13&lt;=상수!$B$35,상수!$B$21+상수!$B$22*A13,"")</f>
        <v>124</v>
      </c>
      <c r="F13" s="19" t="n">
        <f aca="false">IF(A13&lt;상수!$B$35,ROUND(상수!$B$31*A13^상수!$B$32,0),"")</f>
        <v>4157</v>
      </c>
      <c r="G13" s="19" t="n">
        <f aca="false">IF(A13&lt;=상수!$B$35,G12+F12,"")</f>
        <v>17916</v>
      </c>
      <c r="H13" s="18" t="n">
        <f aca="false">상수!$B$4*A13+상수!$B$5</f>
        <v>230</v>
      </c>
    </row>
    <row r="14" customFormat="false" ht="15" hidden="false" customHeight="false" outlineLevel="0" collapsed="false">
      <c r="A14" s="11" t="n">
        <v>13</v>
      </c>
      <c r="B14" s="17" t="n">
        <f aca="false">상수!$B$2^(A14-1)</f>
        <v>3.89597599254698</v>
      </c>
      <c r="C14" s="17" t="n">
        <f aca="false">상수!$B$3^(A14-1)</f>
        <v>2.8126647817829</v>
      </c>
      <c r="D14" s="18" t="n">
        <f aca="false">IF(A14&lt;=상수!$B$35,상수!$B$19+상수!$B$20*A14,"")</f>
        <v>230</v>
      </c>
      <c r="E14" s="18" t="n">
        <f aca="false">IF(A14&lt;=상수!$B$35,상수!$B$21+상수!$B$22*A14,"")</f>
        <v>126</v>
      </c>
      <c r="F14" s="19" t="n">
        <f aca="false">IF(A14&lt;상수!$B$35,ROUND(상수!$B$31*A14^상수!$B$32,0),"")</f>
        <v>4687</v>
      </c>
      <c r="G14" s="19" t="n">
        <f aca="false">IF(A14&lt;=상수!$B$35,G13+F13,"")</f>
        <v>22073</v>
      </c>
      <c r="H14" s="18" t="n">
        <f aca="false">상수!$B$4*A14+상수!$B$5</f>
        <v>245</v>
      </c>
    </row>
    <row r="15" customFormat="false" ht="15" hidden="false" customHeight="false" outlineLevel="0" collapsed="false">
      <c r="A15" s="11" t="n">
        <v>14</v>
      </c>
      <c r="B15" s="17" t="n">
        <f aca="false">상수!$B$2^(A15-1)</f>
        <v>4.36349311165262</v>
      </c>
      <c r="C15" s="17" t="n">
        <f aca="false">상수!$B$3^(A15-1)</f>
        <v>3.06580461214336</v>
      </c>
      <c r="D15" s="18" t="n">
        <f aca="false">IF(A15&lt;=상수!$B$35,상수!$B$19+상수!$B$20*A15,"")</f>
        <v>240</v>
      </c>
      <c r="E15" s="18" t="n">
        <f aca="false">IF(A15&lt;=상수!$B$35,상수!$B$21+상수!$B$22*A15,"")</f>
        <v>128</v>
      </c>
      <c r="F15" s="19" t="n">
        <f aca="false">IF(A15&lt;상수!$B$35,ROUND(상수!$B$31*A15^상수!$B$32,0),"")</f>
        <v>5238</v>
      </c>
      <c r="G15" s="19" t="n">
        <f aca="false">IF(A15&lt;=상수!$B$35,G14+F14,"")</f>
        <v>26760</v>
      </c>
      <c r="H15" s="18" t="n">
        <f aca="false">상수!$B$4*A15+상수!$B$5</f>
        <v>260</v>
      </c>
    </row>
    <row r="16" customFormat="false" ht="15" hidden="false" customHeight="false" outlineLevel="0" collapsed="false">
      <c r="A16" s="11" t="n">
        <v>15</v>
      </c>
      <c r="B16" s="17" t="n">
        <f aca="false">상수!$B$2^(A16-1)</f>
        <v>4.88711228505093</v>
      </c>
      <c r="C16" s="17" t="n">
        <f aca="false">상수!$B$3^(A16-1)</f>
        <v>3.34172702723626</v>
      </c>
      <c r="D16" s="18" t="n">
        <f aca="false">IF(A16&lt;=상수!$B$35,상수!$B$19+상수!$B$20*A16,"")</f>
        <v>250</v>
      </c>
      <c r="E16" s="18" t="n">
        <f aca="false">IF(A16&lt;=상수!$B$35,상수!$B$21+상수!$B$22*A16,"")</f>
        <v>130</v>
      </c>
      <c r="F16" s="19" t="n">
        <f aca="false">IF(A16&lt;상수!$B$35,ROUND(상수!$B$31*A16^상수!$B$32,0),"")</f>
        <v>5809</v>
      </c>
      <c r="G16" s="19" t="n">
        <f aca="false">IF(A16&lt;=상수!$B$35,G15+F15,"")</f>
        <v>31998</v>
      </c>
      <c r="H16" s="18" t="n">
        <f aca="false">상수!$B$4*A16+상수!$B$5</f>
        <v>275</v>
      </c>
    </row>
    <row r="17" customFormat="false" ht="15" hidden="false" customHeight="false" outlineLevel="0" collapsed="false">
      <c r="A17" s="11" t="n">
        <v>16</v>
      </c>
      <c r="B17" s="17" t="n">
        <f aca="false">상수!$B$2^(A17-1)</f>
        <v>5.47356575925705</v>
      </c>
      <c r="C17" s="17" t="n">
        <f aca="false">상수!$B$3^(A17-1)</f>
        <v>3.64248245968752</v>
      </c>
      <c r="D17" s="18" t="n">
        <f aca="false">IF(A17&lt;=상수!$B$35,상수!$B$19+상수!$B$20*A17,"")</f>
        <v>260</v>
      </c>
      <c r="E17" s="18" t="n">
        <f aca="false">IF(A17&lt;=상수!$B$35,상수!$B$21+상수!$B$22*A17,"")</f>
        <v>132</v>
      </c>
      <c r="F17" s="19" t="n">
        <f aca="false">IF(A17&lt;상수!$B$35,ROUND(상수!$B$31*A17^상수!$B$32,0),"")</f>
        <v>6400</v>
      </c>
      <c r="G17" s="19" t="n">
        <f aca="false">IF(A17&lt;=상수!$B$35,G16+F16,"")</f>
        <v>37807</v>
      </c>
      <c r="H17" s="18" t="n">
        <f aca="false">상수!$B$4*A17+상수!$B$5</f>
        <v>290</v>
      </c>
    </row>
    <row r="18" customFormat="false" ht="15" hidden="false" customHeight="false" outlineLevel="0" collapsed="false">
      <c r="A18" s="11" t="n">
        <v>17</v>
      </c>
      <c r="B18" s="17" t="n">
        <f aca="false">상수!$B$2^(A18-1)</f>
        <v>6.13039365036789</v>
      </c>
      <c r="C18" s="17" t="n">
        <f aca="false">상수!$B$3^(A18-1)</f>
        <v>3.9703058810594</v>
      </c>
      <c r="D18" s="18" t="n">
        <f aca="false">IF(A18&lt;=상수!$B$35,상수!$B$19+상수!$B$20*A18,"")</f>
        <v>270</v>
      </c>
      <c r="E18" s="18" t="n">
        <f aca="false">IF(A18&lt;=상수!$B$35,상수!$B$21+상수!$B$22*A18,"")</f>
        <v>134</v>
      </c>
      <c r="F18" s="19" t="n">
        <f aca="false">IF(A18&lt;상수!$B$35,ROUND(상수!$B$31*A18^상수!$B$32,0),"")</f>
        <v>7009</v>
      </c>
      <c r="G18" s="19" t="n">
        <f aca="false">IF(A18&lt;=상수!$B$35,G17+F17,"")</f>
        <v>44207</v>
      </c>
      <c r="H18" s="18" t="n">
        <f aca="false">상수!$B$4*A18+상수!$B$5</f>
        <v>305</v>
      </c>
    </row>
    <row r="19" customFormat="false" ht="15" hidden="false" customHeight="false" outlineLevel="0" collapsed="false">
      <c r="A19" s="11" t="n">
        <v>18</v>
      </c>
      <c r="B19" s="17" t="n">
        <f aca="false">상수!$B$2^(A19-1)</f>
        <v>6.86604088841204</v>
      </c>
      <c r="C19" s="17" t="n">
        <f aca="false">상수!$B$3^(A19-1)</f>
        <v>4.32763341035475</v>
      </c>
      <c r="D19" s="18" t="n">
        <f aca="false">IF(A19&lt;=상수!$B$35,상수!$B$19+상수!$B$20*A19,"")</f>
        <v>280</v>
      </c>
      <c r="E19" s="18" t="n">
        <f aca="false">IF(A19&lt;=상수!$B$35,상수!$B$21+상수!$B$22*A19,"")</f>
        <v>136</v>
      </c>
      <c r="F19" s="19" t="n">
        <f aca="false">IF(A19&lt;상수!$B$35,ROUND(상수!$B$31*A19^상수!$B$32,0),"")</f>
        <v>7637</v>
      </c>
      <c r="G19" s="19" t="n">
        <f aca="false">IF(A19&lt;=상수!$B$35,G18+F18,"")</f>
        <v>51216</v>
      </c>
      <c r="H19" s="18" t="n">
        <f aca="false">상수!$B$4*A19+상수!$B$5</f>
        <v>320</v>
      </c>
    </row>
    <row r="20" customFormat="false" ht="15" hidden="false" customHeight="false" outlineLevel="0" collapsed="false">
      <c r="A20" s="11" t="n">
        <v>19</v>
      </c>
      <c r="B20" s="17" t="n">
        <f aca="false">상수!$B$2^(A20-1)</f>
        <v>7.68996579502149</v>
      </c>
      <c r="C20" s="17" t="n">
        <f aca="false">상수!$B$3^(A20-1)</f>
        <v>4.71712041728668</v>
      </c>
      <c r="D20" s="18" t="n">
        <f aca="false">IF(A20&lt;=상수!$B$35,상수!$B$19+상수!$B$20*A20,"")</f>
        <v>290</v>
      </c>
      <c r="E20" s="18" t="n">
        <f aca="false">IF(A20&lt;=상수!$B$35,상수!$B$21+상수!$B$22*A20,"")</f>
        <v>138</v>
      </c>
      <c r="F20" s="19" t="n">
        <f aca="false">IF(A20&lt;상수!$B$35,ROUND(상수!$B$31*A20^상수!$B$32,0),"")</f>
        <v>8282</v>
      </c>
      <c r="G20" s="19" t="n">
        <f aca="false">IF(A20&lt;=상수!$B$35,G19+F19,"")</f>
        <v>58853</v>
      </c>
      <c r="H20" s="18" t="n">
        <f aca="false">상수!$B$4*A20+상수!$B$5</f>
        <v>335</v>
      </c>
    </row>
    <row r="21" customFormat="false" ht="15" hidden="false" customHeight="false" outlineLevel="0" collapsed="false">
      <c r="A21" s="11" t="n">
        <v>20</v>
      </c>
      <c r="B21" s="17" t="n">
        <f aca="false">상수!$B$2^(A21-1)</f>
        <v>8.61276169042406</v>
      </c>
      <c r="C21" s="17" t="n">
        <f aca="false">상수!$B$3^(A21-1)</f>
        <v>5.14166125484248</v>
      </c>
      <c r="D21" s="18" t="n">
        <f aca="false">IF(A21&lt;=상수!$B$35,상수!$B$19+상수!$B$20*A21,"")</f>
        <v>300</v>
      </c>
      <c r="E21" s="18" t="n">
        <f aca="false">IF(A21&lt;=상수!$B$35,상수!$B$21+상수!$B$22*A21,"")</f>
        <v>140</v>
      </c>
      <c r="F21" s="19" t="n">
        <f aca="false">IF(A21&lt;상수!$B$35,ROUND(상수!$B$31*A21^상수!$B$32,0),"")</f>
        <v>8944</v>
      </c>
      <c r="G21" s="19" t="n">
        <f aca="false">IF(A21&lt;=상수!$B$35,G20+F20,"")</f>
        <v>67135</v>
      </c>
      <c r="H21" s="18" t="n">
        <f aca="false">상수!$B$4*A21+상수!$B$5</f>
        <v>350</v>
      </c>
    </row>
    <row r="22" customFormat="false" ht="15" hidden="false" customHeight="false" outlineLevel="0" collapsed="false">
      <c r="A22" s="11" t="n">
        <v>21</v>
      </c>
      <c r="B22" s="17" t="n">
        <f aca="false">상수!$B$2^(A22-1)</f>
        <v>9.64629309327495</v>
      </c>
      <c r="C22" s="17" t="n">
        <f aca="false">상수!$B$3^(A22-1)</f>
        <v>5.6044107677783</v>
      </c>
      <c r="D22" s="18" t="n">
        <f aca="false">IF(A22&lt;=상수!$B$35,상수!$B$19+상수!$B$20*A22,"")</f>
        <v>310</v>
      </c>
      <c r="E22" s="18" t="n">
        <f aca="false">IF(A22&lt;=상수!$B$35,상수!$B$21+상수!$B$22*A22,"")</f>
        <v>142</v>
      </c>
      <c r="F22" s="19" t="n">
        <f aca="false">IF(A22&lt;상수!$B$35,ROUND(상수!$B$31*A22^상수!$B$32,0),"")</f>
        <v>9623</v>
      </c>
      <c r="G22" s="19" t="n">
        <f aca="false">IF(A22&lt;=상수!$B$35,G21+F21,"")</f>
        <v>76079</v>
      </c>
      <c r="H22" s="18" t="n">
        <f aca="false">상수!$B$4*A22+상수!$B$5</f>
        <v>365</v>
      </c>
    </row>
    <row r="23" customFormat="false" ht="15" hidden="false" customHeight="false" outlineLevel="0" collapsed="false">
      <c r="A23" s="11" t="n">
        <v>22</v>
      </c>
      <c r="B23" s="17" t="n">
        <f aca="false">상수!$B$2^(A23-1)</f>
        <v>10.8038482644679</v>
      </c>
      <c r="C23" s="17" t="n">
        <f aca="false">상수!$B$3^(A23-1)</f>
        <v>6.10880773687835</v>
      </c>
      <c r="D23" s="18" t="n">
        <f aca="false">IF(A23&lt;=상수!$B$35,상수!$B$19+상수!$B$20*A23,"")</f>
        <v>320</v>
      </c>
      <c r="E23" s="18" t="n">
        <f aca="false">IF(A23&lt;=상수!$B$35,상수!$B$21+상수!$B$22*A23,"")</f>
        <v>144</v>
      </c>
      <c r="F23" s="19" t="n">
        <f aca="false">IF(A23&lt;상수!$B$35,ROUND(상수!$B$31*A23^상수!$B$32,0),"")</f>
        <v>10319</v>
      </c>
      <c r="G23" s="19" t="n">
        <f aca="false">IF(A23&lt;=상수!$B$35,G22+F22,"")</f>
        <v>85702</v>
      </c>
      <c r="H23" s="18" t="n">
        <f aca="false">상수!$B$4*A23+상수!$B$5</f>
        <v>380</v>
      </c>
    </row>
    <row r="24" customFormat="false" ht="15" hidden="false" customHeight="false" outlineLevel="0" collapsed="false">
      <c r="A24" s="11" t="n">
        <v>23</v>
      </c>
      <c r="B24" s="17" t="n">
        <f aca="false">상수!$B$2^(A24-1)</f>
        <v>12.1003100562041</v>
      </c>
      <c r="C24" s="17" t="n">
        <f aca="false">상수!$B$3^(A24-1)</f>
        <v>6.6586004331974</v>
      </c>
      <c r="D24" s="18" t="n">
        <f aca="false">IF(A24&lt;=상수!$B$35,상수!$B$19+상수!$B$20*A24,"")</f>
        <v>330</v>
      </c>
      <c r="E24" s="18" t="n">
        <f aca="false">IF(A24&lt;=상수!$B$35,상수!$B$21+상수!$B$22*A24,"")</f>
        <v>146</v>
      </c>
      <c r="F24" s="19" t="n">
        <f aca="false">IF(A24&lt;상수!$B$35,ROUND(상수!$B$31*A24^상수!$B$32,0),"")</f>
        <v>11030</v>
      </c>
      <c r="G24" s="19" t="n">
        <f aca="false">IF(A24&lt;=상수!$B$35,G23+F23,"")</f>
        <v>96021</v>
      </c>
      <c r="H24" s="18" t="n">
        <f aca="false">상수!$B$4*A24+상수!$B$5</f>
        <v>395</v>
      </c>
    </row>
    <row r="25" customFormat="false" ht="15" hidden="false" customHeight="false" outlineLevel="0" collapsed="false">
      <c r="A25" s="11" t="n">
        <v>24</v>
      </c>
      <c r="B25" s="17" t="n">
        <f aca="false">상수!$B$2^(A25-1)</f>
        <v>13.5523472629486</v>
      </c>
      <c r="C25" s="17" t="n">
        <f aca="false">상수!$B$3^(A25-1)</f>
        <v>7.25787447218517</v>
      </c>
      <c r="D25" s="18" t="n">
        <f aca="false">IF(A25&lt;=상수!$B$35,상수!$B$19+상수!$B$20*A25,"")</f>
        <v>340</v>
      </c>
      <c r="E25" s="18" t="n">
        <f aca="false">IF(A25&lt;=상수!$B$35,상수!$B$21+상수!$B$22*A25,"")</f>
        <v>148</v>
      </c>
      <c r="F25" s="19" t="n">
        <f aca="false">IF(A25&lt;상수!$B$35,ROUND(상수!$B$31*A25^상수!$B$32,0),"")</f>
        <v>11758</v>
      </c>
      <c r="G25" s="19" t="n">
        <f aca="false">IF(A25&lt;=상수!$B$35,G24+F24,"")</f>
        <v>107051</v>
      </c>
      <c r="H25" s="18" t="n">
        <f aca="false">상수!$B$4*A25+상수!$B$5</f>
        <v>410</v>
      </c>
    </row>
    <row r="26" customFormat="false" ht="15" hidden="false" customHeight="false" outlineLevel="0" collapsed="false">
      <c r="A26" s="11" t="n">
        <v>25</v>
      </c>
      <c r="B26" s="17" t="n">
        <f aca="false">상수!$B$2^(A26-1)</f>
        <v>15.1786289345024</v>
      </c>
      <c r="C26" s="17" t="n">
        <f aca="false">상수!$B$3^(A26-1)</f>
        <v>7.91108317468183</v>
      </c>
      <c r="D26" s="18" t="n">
        <f aca="false">IF(A26&lt;=상수!$B$35,상수!$B$19+상수!$B$20*A26,"")</f>
        <v>350</v>
      </c>
      <c r="E26" s="18" t="n">
        <f aca="false">IF(A26&lt;=상수!$B$35,상수!$B$21+상수!$B$22*A26,"")</f>
        <v>150</v>
      </c>
      <c r="F26" s="19" t="n">
        <f aca="false">IF(A26&lt;상수!$B$35,ROUND(상수!$B$31*A26^상수!$B$32,0),"")</f>
        <v>12500</v>
      </c>
      <c r="G26" s="19" t="n">
        <f aca="false">IF(A26&lt;=상수!$B$35,G25+F25,"")</f>
        <v>118809</v>
      </c>
      <c r="H26" s="18" t="n">
        <f aca="false">상수!$B$4*A26+상수!$B$5</f>
        <v>425</v>
      </c>
    </row>
    <row r="27" customFormat="false" ht="15" hidden="false" customHeight="false" outlineLevel="0" collapsed="false">
      <c r="A27" s="11" t="n">
        <v>26</v>
      </c>
      <c r="B27" s="17" t="n">
        <f aca="false">상수!$B$2^(A27-1)</f>
        <v>17.0000644066427</v>
      </c>
      <c r="C27" s="17" t="n">
        <f aca="false">상수!$B$3^(A27-1)</f>
        <v>8.6230806604032</v>
      </c>
      <c r="D27" s="18" t="n">
        <f aca="false">IF(A27&lt;=상수!$B$35,상수!$B$19+상수!$B$20*A27,"")</f>
        <v>360</v>
      </c>
      <c r="E27" s="18" t="n">
        <f aca="false">IF(A27&lt;=상수!$B$35,상수!$B$21+상수!$B$22*A27,"")</f>
        <v>152</v>
      </c>
      <c r="F27" s="19" t="n">
        <f aca="false">IF(A27&lt;상수!$B$35,ROUND(상수!$B$31*A27^상수!$B$32,0),"")</f>
        <v>13257</v>
      </c>
      <c r="G27" s="19" t="n">
        <f aca="false">IF(A27&lt;=상수!$B$35,G26+F26,"")</f>
        <v>131309</v>
      </c>
      <c r="H27" s="18" t="n">
        <f aca="false">상수!$B$4*A27+상수!$B$5</f>
        <v>440</v>
      </c>
    </row>
    <row r="28" customFormat="false" ht="15" hidden="false" customHeight="false" outlineLevel="0" collapsed="false">
      <c r="A28" s="11" t="n">
        <v>27</v>
      </c>
      <c r="B28" s="17" t="n">
        <f aca="false">상수!$B$2^(A28-1)</f>
        <v>19.0400721354399</v>
      </c>
      <c r="C28" s="17" t="n">
        <f aca="false">상수!$B$3^(A28-1)</f>
        <v>9.39915791983949</v>
      </c>
      <c r="D28" s="18" t="n">
        <f aca="false">IF(A28&lt;=상수!$B$35,상수!$B$19+상수!$B$20*A28,"")</f>
        <v>370</v>
      </c>
      <c r="E28" s="18" t="n">
        <f aca="false">IF(A28&lt;=상수!$B$35,상수!$B$21+상수!$B$22*A28,"")</f>
        <v>154</v>
      </c>
      <c r="F28" s="19" t="n">
        <f aca="false">IF(A28&lt;상수!$B$35,ROUND(상수!$B$31*A28^상수!$B$32,0),"")</f>
        <v>14030</v>
      </c>
      <c r="G28" s="19" t="n">
        <f aca="false">IF(A28&lt;=상수!$B$35,G27+F27,"")</f>
        <v>144566</v>
      </c>
      <c r="H28" s="18" t="n">
        <f aca="false">상수!$B$4*A28+상수!$B$5</f>
        <v>455</v>
      </c>
    </row>
    <row r="29" customFormat="false" ht="15" hidden="false" customHeight="false" outlineLevel="0" collapsed="false">
      <c r="A29" s="11" t="n">
        <v>28</v>
      </c>
      <c r="B29" s="17" t="n">
        <f aca="false">상수!$B$2^(A29-1)</f>
        <v>21.3248807916926</v>
      </c>
      <c r="C29" s="17" t="n">
        <f aca="false">상수!$B$3^(A29-1)</f>
        <v>10.245082132625</v>
      </c>
      <c r="D29" s="18" t="n">
        <f aca="false">IF(A29&lt;=상수!$B$35,상수!$B$19+상수!$B$20*A29,"")</f>
        <v>380</v>
      </c>
      <c r="E29" s="18" t="n">
        <f aca="false">IF(A29&lt;=상수!$B$35,상수!$B$21+상수!$B$22*A29,"")</f>
        <v>156</v>
      </c>
      <c r="F29" s="19" t="n">
        <f aca="false">IF(A29&lt;상수!$B$35,ROUND(상수!$B$31*A29^상수!$B$32,0),"")</f>
        <v>14816</v>
      </c>
      <c r="G29" s="19" t="n">
        <f aca="false">IF(A29&lt;=상수!$B$35,G28+F28,"")</f>
        <v>158596</v>
      </c>
      <c r="H29" s="18" t="n">
        <f aca="false">상수!$B$4*A29+상수!$B$5</f>
        <v>470</v>
      </c>
    </row>
    <row r="30" customFormat="false" ht="15" hidden="false" customHeight="false" outlineLevel="0" collapsed="false">
      <c r="A30" s="11" t="n">
        <v>29</v>
      </c>
      <c r="B30" s="17" t="n">
        <f aca="false">상수!$B$2^(A30-1)</f>
        <v>23.8838664866958</v>
      </c>
      <c r="C30" s="17" t="n">
        <f aca="false">상수!$B$3^(A30-1)</f>
        <v>11.1671395245613</v>
      </c>
      <c r="D30" s="18" t="n">
        <f aca="false">IF(A30&lt;=상수!$B$35,상수!$B$19+상수!$B$20*A30,"")</f>
        <v>390</v>
      </c>
      <c r="E30" s="18" t="n">
        <f aca="false">IF(A30&lt;=상수!$B$35,상수!$B$21+상수!$B$22*A30,"")</f>
        <v>158</v>
      </c>
      <c r="F30" s="19" t="n">
        <f aca="false">IF(A30&lt;상수!$B$35,ROUND(상수!$B$31*A30^상수!$B$32,0),"")</f>
        <v>15617</v>
      </c>
      <c r="G30" s="19" t="n">
        <f aca="false">IF(A30&lt;=상수!$B$35,G29+F29,"")</f>
        <v>173412</v>
      </c>
      <c r="H30" s="18" t="n">
        <f aca="false">상수!$B$4*A30+상수!$B$5</f>
        <v>485</v>
      </c>
    </row>
    <row r="31" customFormat="false" ht="15" hidden="false" customHeight="false" outlineLevel="0" collapsed="false">
      <c r="A31" s="11" t="n">
        <v>30</v>
      </c>
      <c r="B31" s="17" t="n">
        <f aca="false">상수!$B$2^(A31-1)</f>
        <v>26.7499304650992</v>
      </c>
      <c r="C31" s="17" t="n">
        <f aca="false">상수!$B$3^(A31-1)</f>
        <v>12.1721820817718</v>
      </c>
      <c r="D31" s="18" t="n">
        <f aca="false">IF(A31&lt;=상수!$B$35,상수!$B$19+상수!$B$20*A31,"")</f>
        <v>400</v>
      </c>
      <c r="E31" s="18" t="n">
        <f aca="false">IF(A31&lt;=상수!$B$35,상수!$B$21+상수!$B$22*A31,"")</f>
        <v>160</v>
      </c>
      <c r="F31" s="19" t="n">
        <f aca="false">IF(A31&lt;상수!$B$35,ROUND(상수!$B$31*A31^상수!$B$32,0),"")</f>
        <v>16432</v>
      </c>
      <c r="G31" s="19" t="n">
        <f aca="false">IF(A31&lt;=상수!$B$35,G30+F30,"")</f>
        <v>189029</v>
      </c>
      <c r="H31" s="18" t="n">
        <f aca="false">상수!$B$4*A31+상수!$B$5</f>
        <v>500</v>
      </c>
    </row>
    <row r="32" customFormat="false" ht="15" hidden="false" customHeight="false" outlineLevel="0" collapsed="false">
      <c r="A32" s="11" t="n">
        <v>31</v>
      </c>
      <c r="B32" s="17" t="n">
        <f aca="false">상수!$B$2^(A32-1)</f>
        <v>29.9599221209112</v>
      </c>
      <c r="C32" s="17" t="n">
        <f aca="false">상수!$B$3^(A32-1)</f>
        <v>13.2676784691313</v>
      </c>
      <c r="D32" s="18" t="n">
        <f aca="false">IF(A32&lt;=상수!$B$35,상수!$B$19+상수!$B$20*A32,"")</f>
        <v>410</v>
      </c>
      <c r="E32" s="18" t="n">
        <f aca="false">IF(A32&lt;=상수!$B$35,상수!$B$21+상수!$B$22*A32,"")</f>
        <v>162</v>
      </c>
      <c r="F32" s="19" t="n">
        <f aca="false">IF(A32&lt;상수!$B$35,ROUND(상수!$B$31*A32^상수!$B$32,0),"")</f>
        <v>17260</v>
      </c>
      <c r="G32" s="19" t="n">
        <f aca="false">IF(A32&lt;=상수!$B$35,G31+F31,"")</f>
        <v>205461</v>
      </c>
      <c r="H32" s="18" t="n">
        <f aca="false">상수!$B$4*A32+상수!$B$5</f>
        <v>515</v>
      </c>
    </row>
    <row r="33" customFormat="false" ht="15" hidden="false" customHeight="false" outlineLevel="0" collapsed="false">
      <c r="A33" s="11" t="n">
        <v>32</v>
      </c>
      <c r="B33" s="17" t="n">
        <f aca="false">상수!$B$2^(A33-1)</f>
        <v>33.5551127754205</v>
      </c>
      <c r="C33" s="17" t="n">
        <f aca="false">상수!$B$3^(A33-1)</f>
        <v>14.4617695313531</v>
      </c>
      <c r="D33" s="18" t="n">
        <f aca="false">IF(A33&lt;=상수!$B$35,상수!$B$19+상수!$B$20*A33,"")</f>
        <v>420</v>
      </c>
      <c r="E33" s="18" t="n">
        <f aca="false">IF(A33&lt;=상수!$B$35,상수!$B$21+상수!$B$22*A33,"")</f>
        <v>164</v>
      </c>
      <c r="F33" s="19" t="n">
        <f aca="false">IF(A33&lt;상수!$B$35,ROUND(상수!$B$31*A33^상수!$B$32,0),"")</f>
        <v>18102</v>
      </c>
      <c r="G33" s="19" t="n">
        <f aca="false">IF(A33&lt;=상수!$B$35,G32+F32,"")</f>
        <v>222721</v>
      </c>
      <c r="H33" s="18" t="n">
        <f aca="false">상수!$B$4*A33+상수!$B$5</f>
        <v>530</v>
      </c>
    </row>
    <row r="34" customFormat="false" ht="15" hidden="false" customHeight="false" outlineLevel="0" collapsed="false">
      <c r="A34" s="11" t="n">
        <v>33</v>
      </c>
      <c r="B34" s="17" t="n">
        <f aca="false">상수!$B$2^(A34-1)</f>
        <v>37.581726308471</v>
      </c>
      <c r="C34" s="17" t="n">
        <f aca="false">상수!$B$3^(A34-1)</f>
        <v>15.7633287891749</v>
      </c>
      <c r="D34" s="18" t="n">
        <f aca="false">IF(A34&lt;=상수!$B$35,상수!$B$19+상수!$B$20*A34,"")</f>
        <v>430</v>
      </c>
      <c r="E34" s="18" t="n">
        <f aca="false">IF(A34&lt;=상수!$B$35,상수!$B$21+상수!$B$22*A34,"")</f>
        <v>166</v>
      </c>
      <c r="F34" s="19" t="n">
        <f aca="false">IF(A34&lt;상수!$B$35,ROUND(상수!$B$31*A34^상수!$B$32,0),"")</f>
        <v>18957</v>
      </c>
      <c r="G34" s="19" t="n">
        <f aca="false">IF(A34&lt;=상수!$B$35,G33+F33,"")</f>
        <v>240823</v>
      </c>
      <c r="H34" s="18" t="n">
        <f aca="false">상수!$B$4*A34+상수!$B$5</f>
        <v>545</v>
      </c>
    </row>
    <row r="35" customFormat="false" ht="15" hidden="false" customHeight="false" outlineLevel="0" collapsed="false">
      <c r="A35" s="11" t="n">
        <v>34</v>
      </c>
      <c r="B35" s="17" t="n">
        <f aca="false">상수!$B$2^(A35-1)</f>
        <v>42.0915334654875</v>
      </c>
      <c r="C35" s="17" t="n">
        <f aca="false">상수!$B$3^(A35-1)</f>
        <v>17.1820283802006</v>
      </c>
      <c r="D35" s="18" t="n">
        <f aca="false">IF(A35&lt;=상수!$B$35,상수!$B$19+상수!$B$20*A35,"")</f>
        <v>440</v>
      </c>
      <c r="E35" s="18" t="n">
        <f aca="false">IF(A35&lt;=상수!$B$35,상수!$B$21+상수!$B$22*A35,"")</f>
        <v>168</v>
      </c>
      <c r="F35" s="19" t="n">
        <f aca="false">IF(A35&lt;상수!$B$35,ROUND(상수!$B$31*A35^상수!$B$32,0),"")</f>
        <v>19825</v>
      </c>
      <c r="G35" s="19" t="n">
        <f aca="false">IF(A35&lt;=상수!$B$35,G34+F34,"")</f>
        <v>259780</v>
      </c>
      <c r="H35" s="18" t="n">
        <f aca="false">상수!$B$4*A35+상수!$B$5</f>
        <v>560</v>
      </c>
    </row>
    <row r="36" customFormat="false" ht="15" hidden="false" customHeight="false" outlineLevel="0" collapsed="false">
      <c r="A36" s="11" t="n">
        <v>35</v>
      </c>
      <c r="B36" s="17" t="n">
        <f aca="false">상수!$B$2^(A36-1)</f>
        <v>47.142517481346</v>
      </c>
      <c r="C36" s="17" t="n">
        <f aca="false">상수!$B$3^(A36-1)</f>
        <v>18.7284109344187</v>
      </c>
      <c r="D36" s="18" t="n">
        <f aca="false">IF(A36&lt;=상수!$B$35,상수!$B$19+상수!$B$20*A36,"")</f>
        <v>450</v>
      </c>
      <c r="E36" s="18" t="n">
        <f aca="false">IF(A36&lt;=상수!$B$35,상수!$B$21+상수!$B$22*A36,"")</f>
        <v>170</v>
      </c>
      <c r="F36" s="19" t="n">
        <f aca="false">IF(A36&lt;상수!$B$35,ROUND(상수!$B$31*A36^상수!$B$32,0),"")</f>
        <v>20706</v>
      </c>
      <c r="G36" s="19" t="n">
        <f aca="false">IF(A36&lt;=상수!$B$35,G35+F35,"")</f>
        <v>279605</v>
      </c>
      <c r="H36" s="18" t="n">
        <f aca="false">상수!$B$4*A36+상수!$B$5</f>
        <v>575</v>
      </c>
    </row>
    <row r="37" customFormat="false" ht="15" hidden="false" customHeight="false" outlineLevel="0" collapsed="false">
      <c r="A37" s="11" t="n">
        <v>36</v>
      </c>
      <c r="B37" s="17" t="n">
        <f aca="false">상수!$B$2^(A37-1)</f>
        <v>52.7996195791075</v>
      </c>
      <c r="C37" s="17" t="n">
        <f aca="false">상수!$B$3^(A37-1)</f>
        <v>20.4139679185164</v>
      </c>
      <c r="D37" s="18" t="n">
        <f aca="false">IF(A37&lt;=상수!$B$35,상수!$B$19+상수!$B$20*A37,"")</f>
        <v>460</v>
      </c>
      <c r="E37" s="18" t="n">
        <f aca="false">IF(A37&lt;=상수!$B$35,상수!$B$21+상수!$B$22*A37,"")</f>
        <v>172</v>
      </c>
      <c r="F37" s="19" t="n">
        <f aca="false">IF(A37&lt;상수!$B$35,ROUND(상수!$B$31*A37^상수!$B$32,0),"")</f>
        <v>21600</v>
      </c>
      <c r="G37" s="19" t="n">
        <f aca="false">IF(A37&lt;=상수!$B$35,G36+F36,"")</f>
        <v>300311</v>
      </c>
      <c r="H37" s="18" t="n">
        <f aca="false">상수!$B$4*A37+상수!$B$5</f>
        <v>590</v>
      </c>
    </row>
    <row r="38" customFormat="false" ht="15" hidden="false" customHeight="false" outlineLevel="0" collapsed="false">
      <c r="A38" s="11" t="n">
        <v>37</v>
      </c>
      <c r="B38" s="17" t="n">
        <f aca="false">상수!$B$2^(A38-1)</f>
        <v>59.1355739286004</v>
      </c>
      <c r="C38" s="17" t="n">
        <f aca="false">상수!$B$3^(A38-1)</f>
        <v>22.2512250311828</v>
      </c>
      <c r="D38" s="18" t="n">
        <f aca="false">IF(A38&lt;=상수!$B$35,상수!$B$19+상수!$B$20*A38,"")</f>
        <v>470</v>
      </c>
      <c r="E38" s="18" t="n">
        <f aca="false">IF(A38&lt;=상수!$B$35,상수!$B$21+상수!$B$22*A38,"")</f>
        <v>174</v>
      </c>
      <c r="F38" s="19" t="n">
        <f aca="false">IF(A38&lt;상수!$B$35,ROUND(상수!$B$31*A38^상수!$B$32,0),"")</f>
        <v>22506</v>
      </c>
      <c r="G38" s="19" t="n">
        <f aca="false">IF(A38&lt;=상수!$B$35,G37+F37,"")</f>
        <v>321911</v>
      </c>
      <c r="H38" s="18" t="n">
        <f aca="false">상수!$B$4*A38+상수!$B$5</f>
        <v>605</v>
      </c>
    </row>
    <row r="39" customFormat="false" ht="15" hidden="false" customHeight="false" outlineLevel="0" collapsed="false">
      <c r="A39" s="11" t="n">
        <v>38</v>
      </c>
      <c r="B39" s="17" t="n">
        <f aca="false">상수!$B$2^(A39-1)</f>
        <v>66.2318428000325</v>
      </c>
      <c r="C39" s="17" t="n">
        <f aca="false">상수!$B$3^(A39-1)</f>
        <v>24.2538352839893</v>
      </c>
      <c r="D39" s="18" t="n">
        <f aca="false">IF(A39&lt;=상수!$B$35,상수!$B$19+상수!$B$20*A39,"")</f>
        <v>480</v>
      </c>
      <c r="E39" s="18" t="n">
        <f aca="false">IF(A39&lt;=상수!$B$35,상수!$B$21+상수!$B$22*A39,"")</f>
        <v>176</v>
      </c>
      <c r="F39" s="19" t="n">
        <f aca="false">IF(A39&lt;상수!$B$35,ROUND(상수!$B$31*A39^상수!$B$32,0),"")</f>
        <v>23425</v>
      </c>
      <c r="G39" s="19" t="n">
        <f aca="false">IF(A39&lt;=상수!$B$35,G38+F38,"")</f>
        <v>344417</v>
      </c>
      <c r="H39" s="18" t="n">
        <f aca="false">상수!$B$4*A39+상수!$B$5</f>
        <v>620</v>
      </c>
    </row>
    <row r="40" customFormat="false" ht="15" hidden="false" customHeight="false" outlineLevel="0" collapsed="false">
      <c r="A40" s="11" t="n">
        <v>39</v>
      </c>
      <c r="B40" s="17" t="n">
        <f aca="false">상수!$B$2^(A40-1)</f>
        <v>74.1796639360364</v>
      </c>
      <c r="C40" s="17" t="n">
        <f aca="false">상수!$B$3^(A40-1)</f>
        <v>26.4366804595483</v>
      </c>
      <c r="D40" s="18" t="n">
        <f aca="false">IF(A40&lt;=상수!$B$35,상수!$B$19+상수!$B$20*A40,"")</f>
        <v>490</v>
      </c>
      <c r="E40" s="18" t="n">
        <f aca="false">IF(A40&lt;=상수!$B$35,상수!$B$21+상수!$B$22*A40,"")</f>
        <v>178</v>
      </c>
      <c r="F40" s="19" t="n">
        <f aca="false">IF(A40&lt;상수!$B$35,ROUND(상수!$B$31*A40^상수!$B$32,0),"")</f>
        <v>24355</v>
      </c>
      <c r="G40" s="19" t="n">
        <f aca="false">IF(A40&lt;=상수!$B$35,G39+F39,"")</f>
        <v>367842</v>
      </c>
      <c r="H40" s="18" t="n">
        <f aca="false">상수!$B$4*A40+상수!$B$5</f>
        <v>635</v>
      </c>
    </row>
    <row r="41" customFormat="false" ht="15" hidden="false" customHeight="false" outlineLevel="0" collapsed="false">
      <c r="A41" s="11" t="n">
        <v>40</v>
      </c>
      <c r="B41" s="17" t="n">
        <f aca="false">상수!$B$2^(A41-1)</f>
        <v>83.0812236083607</v>
      </c>
      <c r="C41" s="17" t="n">
        <f aca="false">상수!$B$3^(A41-1)</f>
        <v>28.8159817009077</v>
      </c>
      <c r="D41" s="18" t="n">
        <f aca="false">IF(A41&lt;=상수!$B$35,상수!$B$19+상수!$B$20*A41,"")</f>
        <v>500</v>
      </c>
      <c r="E41" s="18" t="n">
        <f aca="false">IF(A41&lt;=상수!$B$35,상수!$B$21+상수!$B$22*A41,"")</f>
        <v>180</v>
      </c>
      <c r="F41" s="19" t="n">
        <f aca="false">IF(A41&lt;상수!$B$35,ROUND(상수!$B$31*A41^상수!$B$32,0),"")</f>
        <v>25298</v>
      </c>
      <c r="G41" s="19" t="n">
        <f aca="false">IF(A41&lt;=상수!$B$35,G40+F40,"")</f>
        <v>392197</v>
      </c>
      <c r="H41" s="18" t="n">
        <f aca="false">상수!$B$4*A41+상수!$B$5</f>
        <v>650</v>
      </c>
    </row>
    <row r="42" customFormat="false" ht="15" hidden="false" customHeight="false" outlineLevel="0" collapsed="false">
      <c r="A42" s="11" t="n">
        <v>41</v>
      </c>
      <c r="B42" s="17" t="n">
        <f aca="false">상수!$B$2^(A42-1)</f>
        <v>93.050970441364</v>
      </c>
      <c r="C42" s="17" t="n">
        <f aca="false">상수!$B$3^(A42-1)</f>
        <v>31.4094200539894</v>
      </c>
      <c r="D42" s="18" t="n">
        <f aca="false">IF(A42&lt;=상수!$B$35,상수!$B$19+상수!$B$20*A42,"")</f>
        <v>510</v>
      </c>
      <c r="E42" s="18" t="n">
        <f aca="false">IF(A42&lt;=상수!$B$35,상수!$B$21+상수!$B$22*A42,"")</f>
        <v>182</v>
      </c>
      <c r="F42" s="19" t="n">
        <f aca="false">IF(A42&lt;상수!$B$35,ROUND(상수!$B$31*A42^상수!$B$32,0),"")</f>
        <v>26253</v>
      </c>
      <c r="G42" s="19" t="n">
        <f aca="false">IF(A42&lt;=상수!$B$35,G41+F41,"")</f>
        <v>417495</v>
      </c>
      <c r="H42" s="18" t="n">
        <f aca="false">상수!$B$4*A42+상수!$B$5</f>
        <v>665</v>
      </c>
    </row>
    <row r="43" customFormat="false" ht="15" hidden="false" customHeight="false" outlineLevel="0" collapsed="false">
      <c r="A43" s="11" t="n">
        <v>42</v>
      </c>
      <c r="B43" s="17" t="n">
        <f aca="false">상수!$B$2^(A43-1)</f>
        <v>104.217086894328</v>
      </c>
      <c r="C43" s="17" t="n">
        <f aca="false">상수!$B$3^(A43-1)</f>
        <v>34.2362678588484</v>
      </c>
      <c r="D43" s="18" t="n">
        <f aca="false">IF(A43&lt;=상수!$B$35,상수!$B$19+상수!$B$20*A43,"")</f>
        <v>520</v>
      </c>
      <c r="E43" s="18" t="n">
        <f aca="false">IF(A43&lt;=상수!$B$35,상수!$B$21+상수!$B$22*A43,"")</f>
        <v>184</v>
      </c>
      <c r="F43" s="19" t="n">
        <f aca="false">IF(A43&lt;상수!$B$35,ROUND(상수!$B$31*A43^상수!$B$32,0),"")</f>
        <v>27219</v>
      </c>
      <c r="G43" s="19" t="n">
        <f aca="false">IF(A43&lt;=상수!$B$35,G42+F42,"")</f>
        <v>443748</v>
      </c>
      <c r="H43" s="18" t="n">
        <f aca="false">상수!$B$4*A43+상수!$B$5</f>
        <v>680</v>
      </c>
    </row>
    <row r="44" customFormat="false" ht="15" hidden="false" customHeight="false" outlineLevel="0" collapsed="false">
      <c r="A44" s="11" t="n">
        <v>43</v>
      </c>
      <c r="B44" s="17" t="n">
        <f aca="false">상수!$B$2^(A44-1)</f>
        <v>116.723137321647</v>
      </c>
      <c r="C44" s="17" t="n">
        <f aca="false">상수!$B$3^(A44-1)</f>
        <v>37.3175319661448</v>
      </c>
      <c r="D44" s="18" t="n">
        <f aca="false">IF(A44&lt;=상수!$B$35,상수!$B$19+상수!$B$20*A44,"")</f>
        <v>530</v>
      </c>
      <c r="E44" s="18" t="n">
        <f aca="false">IF(A44&lt;=상수!$B$35,상수!$B$21+상수!$B$22*A44,"")</f>
        <v>186</v>
      </c>
      <c r="F44" s="19" t="n">
        <f aca="false">IF(A44&lt;상수!$B$35,ROUND(상수!$B$31*A44^상수!$B$32,0),"")</f>
        <v>28197</v>
      </c>
      <c r="G44" s="19" t="n">
        <f aca="false">IF(A44&lt;=상수!$B$35,G43+F43,"")</f>
        <v>470967</v>
      </c>
      <c r="H44" s="18" t="n">
        <f aca="false">상수!$B$4*A44+상수!$B$5</f>
        <v>695</v>
      </c>
    </row>
    <row r="45" customFormat="false" ht="15" hidden="false" customHeight="false" outlineLevel="0" collapsed="false">
      <c r="A45" s="11" t="n">
        <v>44</v>
      </c>
      <c r="B45" s="17" t="n">
        <f aca="false">상수!$B$2^(A45-1)</f>
        <v>130.729913800245</v>
      </c>
      <c r="C45" s="17" t="n">
        <f aca="false">상수!$B$3^(A45-1)</f>
        <v>40.6761098430978</v>
      </c>
      <c r="D45" s="18" t="n">
        <f aca="false">IF(A45&lt;=상수!$B$35,상수!$B$19+상수!$B$20*A45,"")</f>
        <v>540</v>
      </c>
      <c r="E45" s="18" t="n">
        <f aca="false">IF(A45&lt;=상수!$B$35,상수!$B$21+상수!$B$22*A45,"")</f>
        <v>188</v>
      </c>
      <c r="F45" s="19" t="n">
        <f aca="false">IF(A45&lt;상수!$B$35,ROUND(상수!$B$31*A45^상수!$B$32,0),"")</f>
        <v>29186</v>
      </c>
      <c r="G45" s="19" t="n">
        <f aca="false">IF(A45&lt;=상수!$B$35,G44+F44,"")</f>
        <v>499164</v>
      </c>
      <c r="H45" s="18" t="n">
        <f aca="false">상수!$B$4*A45+상수!$B$5</f>
        <v>710</v>
      </c>
    </row>
    <row r="46" customFormat="false" ht="15" hidden="false" customHeight="false" outlineLevel="0" collapsed="false">
      <c r="A46" s="11" t="n">
        <v>45</v>
      </c>
      <c r="B46" s="17" t="n">
        <f aca="false">상수!$B$2^(A46-1)</f>
        <v>146.417503456274</v>
      </c>
      <c r="C46" s="17" t="n">
        <f aca="false">상수!$B$3^(A46-1)</f>
        <v>44.3369597289766</v>
      </c>
      <c r="D46" s="18" t="n">
        <f aca="false">IF(A46&lt;=상수!$B$35,상수!$B$19+상수!$B$20*A46,"")</f>
        <v>550</v>
      </c>
      <c r="E46" s="18" t="n">
        <f aca="false">IF(A46&lt;=상수!$B$35,상수!$B$21+상수!$B$22*A46,"")</f>
        <v>190</v>
      </c>
      <c r="F46" s="19" t="n">
        <f aca="false">IF(A46&lt;상수!$B$35,ROUND(상수!$B$31*A46^상수!$B$32,0),"")</f>
        <v>30187</v>
      </c>
      <c r="G46" s="19" t="n">
        <f aca="false">IF(A46&lt;=상수!$B$35,G45+F45,"")</f>
        <v>528350</v>
      </c>
      <c r="H46" s="18" t="n">
        <f aca="false">상수!$B$4*A46+상수!$B$5</f>
        <v>725</v>
      </c>
    </row>
    <row r="47" customFormat="false" ht="15" hidden="false" customHeight="false" outlineLevel="0" collapsed="false">
      <c r="A47" s="11" t="n">
        <v>46</v>
      </c>
      <c r="B47" s="17" t="n">
        <f aca="false">상수!$B$2^(A47-1)</f>
        <v>163.987603871027</v>
      </c>
      <c r="C47" s="17" t="n">
        <f aca="false">상수!$B$3^(A47-1)</f>
        <v>48.3272861045845</v>
      </c>
      <c r="D47" s="18" t="n">
        <f aca="false">IF(A47&lt;=상수!$B$35,상수!$B$19+상수!$B$20*A47,"")</f>
        <v>560</v>
      </c>
      <c r="E47" s="18" t="n">
        <f aca="false">IF(A47&lt;=상수!$B$35,상수!$B$21+상수!$B$22*A47,"")</f>
        <v>192</v>
      </c>
      <c r="F47" s="19" t="n">
        <f aca="false">IF(A47&lt;상수!$B$35,ROUND(상수!$B$31*A47^상수!$B$32,0),"")</f>
        <v>31199</v>
      </c>
      <c r="G47" s="19" t="n">
        <f aca="false">IF(A47&lt;=상수!$B$35,G46+F46,"")</f>
        <v>558537</v>
      </c>
      <c r="H47" s="18" t="n">
        <f aca="false">상수!$B$4*A47+상수!$B$5</f>
        <v>740</v>
      </c>
    </row>
    <row r="48" customFormat="false" ht="15" hidden="false" customHeight="false" outlineLevel="0" collapsed="false">
      <c r="A48" s="11" t="n">
        <v>47</v>
      </c>
      <c r="B48" s="17" t="n">
        <f aca="false">상수!$B$2^(A48-1)</f>
        <v>183.66611633555</v>
      </c>
      <c r="C48" s="17" t="n">
        <f aca="false">상수!$B$3^(A48-1)</f>
        <v>52.6767418539971</v>
      </c>
      <c r="D48" s="18" t="n">
        <f aca="false">IF(A48&lt;=상수!$B$35,상수!$B$19+상수!$B$20*A48,"")</f>
        <v>570</v>
      </c>
      <c r="E48" s="18" t="n">
        <f aca="false">IF(A48&lt;=상수!$B$35,상수!$B$21+상수!$B$22*A48,"")</f>
        <v>194</v>
      </c>
      <c r="F48" s="19" t="n">
        <f aca="false">IF(A48&lt;상수!$B$35,ROUND(상수!$B$31*A48^상수!$B$32,0),"")</f>
        <v>32222</v>
      </c>
      <c r="G48" s="19" t="n">
        <f aca="false">IF(A48&lt;=상수!$B$35,G47+F47,"")</f>
        <v>589736</v>
      </c>
      <c r="H48" s="18" t="n">
        <f aca="false">상수!$B$4*A48+상수!$B$5</f>
        <v>755</v>
      </c>
    </row>
    <row r="49" customFormat="false" ht="15" hidden="false" customHeight="false" outlineLevel="0" collapsed="false">
      <c r="A49" s="11" t="n">
        <v>48</v>
      </c>
      <c r="B49" s="17" t="n">
        <f aca="false">상수!$B$2^(A49-1)</f>
        <v>205.706050295816</v>
      </c>
      <c r="C49" s="17" t="n">
        <f aca="false">상수!$B$3^(A49-1)</f>
        <v>57.4176486208568</v>
      </c>
      <c r="D49" s="18" t="n">
        <f aca="false">IF(A49&lt;=상수!$B$35,상수!$B$19+상수!$B$20*A49,"")</f>
        <v>580</v>
      </c>
      <c r="E49" s="18" t="n">
        <f aca="false">IF(A49&lt;=상수!$B$35,상수!$B$21+상수!$B$22*A49,"")</f>
        <v>196</v>
      </c>
      <c r="F49" s="19" t="n">
        <f aca="false">IF(A49&lt;상수!$B$35,ROUND(상수!$B$31*A49^상수!$B$32,0),"")</f>
        <v>33255</v>
      </c>
      <c r="G49" s="19" t="n">
        <f aca="false">IF(A49&lt;=상수!$B$35,G48+F48,"")</f>
        <v>621958</v>
      </c>
      <c r="H49" s="18" t="n">
        <f aca="false">상수!$B$4*A49+상수!$B$5</f>
        <v>770</v>
      </c>
    </row>
    <row r="50" customFormat="false" ht="15" hidden="false" customHeight="false" outlineLevel="0" collapsed="false">
      <c r="A50" s="11" t="n">
        <v>49</v>
      </c>
      <c r="B50" s="17" t="n">
        <f aca="false">상수!$B$2^(A50-1)</f>
        <v>230.390776331314</v>
      </c>
      <c r="C50" s="17" t="n">
        <f aca="false">상수!$B$3^(A50-1)</f>
        <v>62.585236996734</v>
      </c>
      <c r="D50" s="18" t="n">
        <f aca="false">IF(A50&lt;=상수!$B$35,상수!$B$19+상수!$B$20*A50,"")</f>
        <v>590</v>
      </c>
      <c r="E50" s="18" t="n">
        <f aca="false">IF(A50&lt;=상수!$B$35,상수!$B$21+상수!$B$22*A50,"")</f>
        <v>198</v>
      </c>
      <c r="F50" s="19" t="n">
        <f aca="false">IF(A50&lt;상수!$B$35,ROUND(상수!$B$31*A50^상수!$B$32,0),"")</f>
        <v>34300</v>
      </c>
      <c r="G50" s="19" t="n">
        <f aca="false">IF(A50&lt;=상수!$B$35,G49+F49,"")</f>
        <v>655213</v>
      </c>
      <c r="H50" s="18" t="n">
        <f aca="false">상수!$B$4*A50+상수!$B$5</f>
        <v>785</v>
      </c>
    </row>
    <row r="51" customFormat="false" ht="15" hidden="false" customHeight="false" outlineLevel="0" collapsed="false">
      <c r="A51" s="11" t="n">
        <v>50</v>
      </c>
      <c r="B51" s="17" t="n">
        <f aca="false">상수!$B$2^(A51-1)</f>
        <v>258.037669491072</v>
      </c>
      <c r="C51" s="17" t="n">
        <f aca="false">상수!$B$3^(A51-1)</f>
        <v>68.21790832644</v>
      </c>
      <c r="D51" s="18" t="n">
        <f aca="false">IF(A51&lt;=상수!$B$35,상수!$B$19+상수!$B$20*A51,"")</f>
        <v>600</v>
      </c>
      <c r="E51" s="18" t="n">
        <f aca="false">IF(A51&lt;=상수!$B$35,상수!$B$21+상수!$B$22*A51,"")</f>
        <v>200</v>
      </c>
      <c r="F51" s="19" t="str">
        <f aca="false">IF(A51&lt;상수!$B$35,ROUND(상수!$B$31*A51^상수!$B$32,0),"")</f>
        <v/>
      </c>
      <c r="G51" s="19" t="n">
        <f aca="false">IF(A51&lt;=상수!$B$35,G50+F50,"")</f>
        <v>689513</v>
      </c>
      <c r="H51" s="18" t="n">
        <f aca="false">상수!$B$4*A51+상수!$B$5</f>
        <v>800</v>
      </c>
    </row>
    <row r="52" customFormat="false" ht="15" hidden="false" customHeight="false" outlineLevel="0" collapsed="false">
      <c r="A52" s="11" t="n">
        <v>51</v>
      </c>
      <c r="B52" s="17" t="n">
        <f aca="false">상수!$B$2^(A52-1)</f>
        <v>289.002189830001</v>
      </c>
      <c r="C52" s="17" t="n">
        <f aca="false">상수!$B$3^(A52-1)</f>
        <v>74.3575200758196</v>
      </c>
      <c r="D52" s="18" t="str">
        <f aca="false">IF(A52&lt;=상수!$B$35,상수!$B$19+상수!$B$20*A52,"")</f>
        <v/>
      </c>
      <c r="E52" s="18" t="str">
        <f aca="false">IF(A52&lt;=상수!$B$35,상수!$B$21+상수!$B$22*A52,"")</f>
        <v/>
      </c>
      <c r="F52" s="19" t="str">
        <f aca="false">IF(A52&lt;상수!$B$35,ROUND(상수!$B$31*A52^상수!$B$32,0),"")</f>
        <v/>
      </c>
      <c r="G52" s="19" t="str">
        <f aca="false">IF(A52&lt;=상수!$B$35,G51+F51,"")</f>
        <v/>
      </c>
      <c r="H52" s="18" t="n">
        <f aca="false">상수!$B$4*A52+상수!$B$5</f>
        <v>815</v>
      </c>
    </row>
    <row r="53" customFormat="false" ht="15" hidden="false" customHeight="false" outlineLevel="0" collapsed="false">
      <c r="A53" s="11" t="n">
        <v>52</v>
      </c>
      <c r="B53" s="17" t="n">
        <f aca="false">상수!$B$2^(A53-1)</f>
        <v>323.682452609601</v>
      </c>
      <c r="C53" s="17" t="n">
        <f aca="false">상수!$B$3^(A53-1)</f>
        <v>81.0496968826434</v>
      </c>
      <c r="D53" s="18" t="str">
        <f aca="false">IF(A53&lt;=상수!$B$35,상수!$B$19+상수!$B$20*A53,"")</f>
        <v/>
      </c>
      <c r="E53" s="18" t="str">
        <f aca="false">IF(A53&lt;=상수!$B$35,상수!$B$21+상수!$B$22*A53,"")</f>
        <v/>
      </c>
      <c r="F53" s="19" t="str">
        <f aca="false">IF(A53&lt;상수!$B$35,ROUND(상수!$B$31*A53^상수!$B$32,0),"")</f>
        <v/>
      </c>
      <c r="G53" s="19" t="str">
        <f aca="false">IF(A53&lt;=상수!$B$35,G52+F52,"")</f>
        <v/>
      </c>
      <c r="H53" s="18" t="n">
        <f aca="false">상수!$B$4*A53+상수!$B$5</f>
        <v>830</v>
      </c>
    </row>
    <row r="54" customFormat="false" ht="15" hidden="false" customHeight="false" outlineLevel="0" collapsed="false">
      <c r="A54" s="11" t="n">
        <v>53</v>
      </c>
      <c r="B54" s="17" t="n">
        <f aca="false">상수!$B$2^(A54-1)</f>
        <v>362.524346922753</v>
      </c>
      <c r="C54" s="17" t="n">
        <f aca="false">상수!$B$3^(A54-1)</f>
        <v>88.3441696020813</v>
      </c>
      <c r="D54" s="18" t="str">
        <f aca="false">IF(A54&lt;=상수!$B$35,상수!$B$19+상수!$B$20*A54,"")</f>
        <v/>
      </c>
      <c r="E54" s="18" t="str">
        <f aca="false">IF(A54&lt;=상수!$B$35,상수!$B$21+상수!$B$22*A54,"")</f>
        <v/>
      </c>
      <c r="F54" s="19" t="str">
        <f aca="false">IF(A54&lt;상수!$B$35,ROUND(상수!$B$31*A54^상수!$B$32,0),"")</f>
        <v/>
      </c>
      <c r="G54" s="19" t="str">
        <f aca="false">IF(A54&lt;=상수!$B$35,G53+F53,"")</f>
        <v/>
      </c>
      <c r="H54" s="18" t="n">
        <f aca="false">상수!$B$4*A54+상수!$B$5</f>
        <v>845</v>
      </c>
    </row>
    <row r="55" customFormat="false" ht="15" hidden="false" customHeight="false" outlineLevel="0" collapsed="false">
      <c r="A55" s="11" t="n">
        <v>54</v>
      </c>
      <c r="B55" s="17" t="n">
        <f aca="false">상수!$B$2^(A55-1)</f>
        <v>406.027268553483</v>
      </c>
      <c r="C55" s="17" t="n">
        <f aca="false">상수!$B$3^(A55-1)</f>
        <v>96.2951448662686</v>
      </c>
      <c r="D55" s="18" t="str">
        <f aca="false">IF(A55&lt;=상수!$B$35,상수!$B$19+상수!$B$20*A55,"")</f>
        <v/>
      </c>
      <c r="E55" s="18" t="str">
        <f aca="false">IF(A55&lt;=상수!$B$35,상수!$B$21+상수!$B$22*A55,"")</f>
        <v/>
      </c>
      <c r="F55" s="19" t="str">
        <f aca="false">IF(A55&lt;상수!$B$35,ROUND(상수!$B$31*A55^상수!$B$32,0),"")</f>
        <v/>
      </c>
      <c r="G55" s="19" t="str">
        <f aca="false">IF(A55&lt;=상수!$B$35,G54+F54,"")</f>
        <v/>
      </c>
      <c r="H55" s="18" t="n">
        <f aca="false">상수!$B$4*A55+상수!$B$5</f>
        <v>860</v>
      </c>
    </row>
    <row r="56" customFormat="false" ht="15" hidden="false" customHeight="false" outlineLevel="0" collapsed="false">
      <c r="A56" s="11" t="n">
        <v>55</v>
      </c>
      <c r="B56" s="17" t="n">
        <f aca="false">상수!$B$2^(A56-1)</f>
        <v>454.750540779902</v>
      </c>
      <c r="C56" s="17" t="n">
        <f aca="false">상수!$B$3^(A56-1)</f>
        <v>104.961707904233</v>
      </c>
      <c r="D56" s="18" t="str">
        <f aca="false">IF(A56&lt;=상수!$B$35,상수!$B$19+상수!$B$20*A56,"")</f>
        <v/>
      </c>
      <c r="E56" s="18" t="str">
        <f aca="false">IF(A56&lt;=상수!$B$35,상수!$B$21+상수!$B$22*A56,"")</f>
        <v/>
      </c>
      <c r="F56" s="19" t="str">
        <f aca="false">IF(A56&lt;상수!$B$35,ROUND(상수!$B$31*A56^상수!$B$32,0),"")</f>
        <v/>
      </c>
      <c r="G56" s="19" t="str">
        <f aca="false">IF(A56&lt;=상수!$B$35,G55+F55,"")</f>
        <v/>
      </c>
      <c r="H56" s="18" t="n">
        <f aca="false">상수!$B$4*A56+상수!$B$5</f>
        <v>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4" min="11" style="0" width="9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40"/>
  </cols>
  <sheetData>
    <row r="1" customFormat="false" ht="29.85" hidden="false" customHeight="false" outlineLevel="0" collapsed="false">
      <c r="A1" s="16" t="s">
        <v>123</v>
      </c>
      <c r="B1" s="16" t="s">
        <v>124</v>
      </c>
      <c r="C1" s="16" t="s">
        <v>125</v>
      </c>
      <c r="D1" s="16" t="s">
        <v>126</v>
      </c>
      <c r="E1" s="16" t="s">
        <v>127</v>
      </c>
      <c r="F1" s="16" t="s">
        <v>75</v>
      </c>
      <c r="G1" s="16" t="s">
        <v>128</v>
      </c>
      <c r="H1" s="16" t="s">
        <v>129</v>
      </c>
      <c r="I1" s="16" t="s">
        <v>130</v>
      </c>
      <c r="J1" s="16" t="s">
        <v>131</v>
      </c>
      <c r="K1" s="16" t="s">
        <v>132</v>
      </c>
      <c r="L1" s="16" t="s">
        <v>133</v>
      </c>
      <c r="M1" s="16" t="s">
        <v>134</v>
      </c>
      <c r="N1" s="16" t="s">
        <v>135</v>
      </c>
      <c r="O1" s="16" t="s">
        <v>136</v>
      </c>
      <c r="P1" s="16" t="s">
        <v>137</v>
      </c>
      <c r="Q1" s="16" t="s">
        <v>138</v>
      </c>
    </row>
    <row r="2" customFormat="false" ht="15" hidden="false" customHeight="false" outlineLevel="0" collapsed="false">
      <c r="A2" s="11" t="s">
        <v>139</v>
      </c>
      <c r="B2" s="13" t="s">
        <v>140</v>
      </c>
      <c r="C2" s="13" t="s">
        <v>140</v>
      </c>
      <c r="D2" s="11" t="n">
        <v>1</v>
      </c>
      <c r="E2" s="13" t="s">
        <v>141</v>
      </c>
      <c r="F2" s="20" t="n">
        <v>30</v>
      </c>
      <c r="G2" s="20" t="n">
        <v>5</v>
      </c>
      <c r="H2" s="21" t="n">
        <v>1.5</v>
      </c>
      <c r="I2" s="20" t="s">
        <v>142</v>
      </c>
      <c r="J2" s="20" t="n">
        <v>5</v>
      </c>
      <c r="K2" s="15" t="n">
        <v>0</v>
      </c>
      <c r="L2" s="15" t="n">
        <v>0</v>
      </c>
      <c r="M2" s="15" t="n">
        <v>0</v>
      </c>
      <c r="N2" s="15" t="n">
        <v>0.2</v>
      </c>
      <c r="O2" s="21" t="n">
        <v>3.5</v>
      </c>
      <c r="P2" s="20" t="n">
        <v>50</v>
      </c>
      <c r="Q2" s="13" t="s">
        <v>143</v>
      </c>
    </row>
    <row r="3" customFormat="false" ht="15" hidden="false" customHeight="false" outlineLevel="0" collapsed="false">
      <c r="A3" s="11" t="s">
        <v>144</v>
      </c>
      <c r="B3" s="13" t="s">
        <v>145</v>
      </c>
      <c r="C3" s="13" t="s">
        <v>140</v>
      </c>
      <c r="D3" s="11" t="n">
        <v>1</v>
      </c>
      <c r="E3" s="13" t="s">
        <v>146</v>
      </c>
      <c r="F3" s="20" t="n">
        <v>24</v>
      </c>
      <c r="G3" s="20" t="n">
        <v>5</v>
      </c>
      <c r="H3" s="21" t="n">
        <v>1.2</v>
      </c>
      <c r="I3" s="20" t="s">
        <v>142</v>
      </c>
      <c r="J3" s="20" t="n">
        <v>3</v>
      </c>
      <c r="K3" s="15" t="n">
        <v>0</v>
      </c>
      <c r="L3" s="15" t="n">
        <v>0</v>
      </c>
      <c r="M3" s="15" t="n">
        <v>0</v>
      </c>
      <c r="N3" s="15" t="n">
        <v>0.2</v>
      </c>
      <c r="O3" s="21" t="n">
        <v>5</v>
      </c>
      <c r="P3" s="20" t="n">
        <v>55</v>
      </c>
      <c r="Q3" s="11"/>
    </row>
    <row r="4" customFormat="false" ht="15" hidden="false" customHeight="false" outlineLevel="0" collapsed="false">
      <c r="A4" s="11" t="s">
        <v>147</v>
      </c>
      <c r="B4" s="13" t="s">
        <v>148</v>
      </c>
      <c r="C4" s="13" t="s">
        <v>140</v>
      </c>
      <c r="D4" s="11" t="n">
        <v>1</v>
      </c>
      <c r="E4" s="13" t="s">
        <v>149</v>
      </c>
      <c r="F4" s="20" t="n">
        <v>36</v>
      </c>
      <c r="G4" s="20" t="n">
        <v>5</v>
      </c>
      <c r="H4" s="21" t="n">
        <v>1.5</v>
      </c>
      <c r="I4" s="20" t="s">
        <v>150</v>
      </c>
      <c r="J4" s="20" t="n">
        <v>5</v>
      </c>
      <c r="K4" s="15" t="n">
        <v>0</v>
      </c>
      <c r="L4" s="15" t="n">
        <v>0</v>
      </c>
      <c r="M4" s="15" t="n">
        <v>0.5</v>
      </c>
      <c r="N4" s="15" t="n">
        <v>0.2</v>
      </c>
      <c r="O4" s="21" t="n">
        <v>3.2</v>
      </c>
      <c r="P4" s="20" t="n">
        <v>65</v>
      </c>
      <c r="Q4" s="13" t="s">
        <v>151</v>
      </c>
    </row>
    <row r="5" customFormat="false" ht="15" hidden="false" customHeight="false" outlineLevel="0" collapsed="false">
      <c r="A5" s="11" t="s">
        <v>152</v>
      </c>
      <c r="B5" s="13" t="s">
        <v>153</v>
      </c>
      <c r="C5" s="13" t="s">
        <v>153</v>
      </c>
      <c r="D5" s="11" t="n">
        <v>1</v>
      </c>
      <c r="E5" s="13" t="s">
        <v>154</v>
      </c>
      <c r="F5" s="20" t="n">
        <v>18</v>
      </c>
      <c r="G5" s="20" t="n">
        <v>4</v>
      </c>
      <c r="H5" s="21" t="n">
        <v>1</v>
      </c>
      <c r="I5" s="20" t="s">
        <v>142</v>
      </c>
      <c r="J5" s="20" t="n">
        <v>2</v>
      </c>
      <c r="K5" s="15" t="n">
        <v>0</v>
      </c>
      <c r="L5" s="15" t="n">
        <v>0</v>
      </c>
      <c r="M5" s="15" t="n">
        <v>0</v>
      </c>
      <c r="N5" s="15" t="n">
        <v>0.3</v>
      </c>
      <c r="O5" s="21" t="n">
        <v>5.5</v>
      </c>
      <c r="P5" s="20" t="n">
        <v>35</v>
      </c>
      <c r="Q5" s="13" t="s">
        <v>155</v>
      </c>
    </row>
    <row r="6" customFormat="false" ht="15" hidden="false" customHeight="false" outlineLevel="0" collapsed="false">
      <c r="A6" s="11" t="s">
        <v>156</v>
      </c>
      <c r="B6" s="13" t="s">
        <v>157</v>
      </c>
      <c r="C6" s="13" t="s">
        <v>157</v>
      </c>
      <c r="D6" s="11" t="n">
        <v>1</v>
      </c>
      <c r="E6" s="13" t="s">
        <v>158</v>
      </c>
      <c r="F6" s="20" t="n">
        <v>20</v>
      </c>
      <c r="G6" s="20" t="n">
        <v>6</v>
      </c>
      <c r="H6" s="21" t="n">
        <v>2</v>
      </c>
      <c r="I6" s="20" t="s">
        <v>159</v>
      </c>
      <c r="J6" s="20" t="n">
        <v>0</v>
      </c>
      <c r="K6" s="15" t="n">
        <v>0.5</v>
      </c>
      <c r="L6" s="15" t="n">
        <v>-0.25</v>
      </c>
      <c r="M6" s="15" t="n">
        <v>0</v>
      </c>
      <c r="N6" s="15" t="n">
        <v>0</v>
      </c>
      <c r="O6" s="21" t="n">
        <v>4</v>
      </c>
      <c r="P6" s="20" t="n">
        <v>45</v>
      </c>
      <c r="Q6" s="13" t="s">
        <v>160</v>
      </c>
    </row>
    <row r="7" customFormat="false" ht="15" hidden="false" customHeight="false" outlineLevel="0" collapsed="false">
      <c r="A7" s="11" t="s">
        <v>161</v>
      </c>
      <c r="B7" s="13" t="s">
        <v>162</v>
      </c>
      <c r="C7" s="13" t="s">
        <v>162</v>
      </c>
      <c r="D7" s="11" t="n">
        <v>1</v>
      </c>
      <c r="E7" s="13" t="s">
        <v>163</v>
      </c>
      <c r="F7" s="20" t="n">
        <v>90</v>
      </c>
      <c r="G7" s="20" t="n">
        <v>12</v>
      </c>
      <c r="H7" s="21" t="n">
        <v>2.5</v>
      </c>
      <c r="I7" s="20" t="s">
        <v>142</v>
      </c>
      <c r="J7" s="20" t="n">
        <v>25</v>
      </c>
      <c r="K7" s="15" t="n">
        <v>0</v>
      </c>
      <c r="L7" s="15" t="n">
        <v>0</v>
      </c>
      <c r="M7" s="15" t="n">
        <v>0</v>
      </c>
      <c r="N7" s="15" t="n">
        <v>0</v>
      </c>
      <c r="O7" s="21" t="n">
        <v>2.5</v>
      </c>
      <c r="P7" s="20" t="n">
        <v>120</v>
      </c>
      <c r="Q7" s="13" t="s">
        <v>164</v>
      </c>
    </row>
    <row r="8" customFormat="false" ht="15" hidden="false" customHeight="false" outlineLevel="0" collapsed="false">
      <c r="A8" s="11" t="s">
        <v>165</v>
      </c>
      <c r="B8" s="13" t="s">
        <v>166</v>
      </c>
      <c r="C8" s="13" t="s">
        <v>166</v>
      </c>
      <c r="D8" s="11" t="n">
        <v>1</v>
      </c>
      <c r="E8" s="13" t="s">
        <v>167</v>
      </c>
      <c r="F8" s="20" t="n">
        <v>120</v>
      </c>
      <c r="G8" s="20" t="n">
        <v>10</v>
      </c>
      <c r="H8" s="21" t="n">
        <v>2.5</v>
      </c>
      <c r="I8" s="20" t="s">
        <v>142</v>
      </c>
      <c r="J8" s="20" t="n">
        <v>40</v>
      </c>
      <c r="K8" s="15" t="n">
        <v>0.2</v>
      </c>
      <c r="L8" s="15" t="n">
        <v>0.2</v>
      </c>
      <c r="M8" s="15" t="n">
        <v>0.5</v>
      </c>
      <c r="N8" s="15" t="n">
        <v>0</v>
      </c>
      <c r="O8" s="21" t="n">
        <v>2</v>
      </c>
      <c r="P8" s="20" t="n">
        <v>140</v>
      </c>
      <c r="Q8" s="11"/>
    </row>
    <row r="9" customFormat="false" ht="15" hidden="false" customHeight="false" outlineLevel="0" collapsed="false">
      <c r="A9" s="11" t="s">
        <v>168</v>
      </c>
      <c r="B9" s="13" t="s">
        <v>169</v>
      </c>
      <c r="C9" s="13" t="s">
        <v>169</v>
      </c>
      <c r="D9" s="11" t="n">
        <v>1</v>
      </c>
      <c r="E9" s="13" t="s">
        <v>170</v>
      </c>
      <c r="F9" s="20" t="n">
        <v>80</v>
      </c>
      <c r="G9" s="20" t="n">
        <v>8</v>
      </c>
      <c r="H9" s="21" t="n">
        <v>1.5</v>
      </c>
      <c r="I9" s="20" t="s">
        <v>171</v>
      </c>
      <c r="J9" s="20" t="n">
        <v>10</v>
      </c>
      <c r="K9" s="15" t="n">
        <v>0</v>
      </c>
      <c r="L9" s="15" t="n">
        <v>0</v>
      </c>
      <c r="M9" s="15" t="n">
        <v>0</v>
      </c>
      <c r="N9" s="15" t="n">
        <v>0.5</v>
      </c>
      <c r="O9" s="21" t="n">
        <v>3.5</v>
      </c>
      <c r="P9" s="20" t="n">
        <v>200</v>
      </c>
      <c r="Q9" s="13" t="s">
        <v>172</v>
      </c>
    </row>
    <row r="10" customFormat="false" ht="15" hidden="false" customHeight="false" outlineLevel="0" collapsed="false">
      <c r="A10" s="11" t="s">
        <v>173</v>
      </c>
      <c r="B10" s="13" t="s">
        <v>174</v>
      </c>
      <c r="C10" s="13" t="s">
        <v>174</v>
      </c>
      <c r="D10" s="11" t="n">
        <v>1</v>
      </c>
      <c r="E10" s="11" t="s">
        <v>175</v>
      </c>
      <c r="F10" s="20" t="n">
        <v>1500</v>
      </c>
      <c r="G10" s="20" t="n">
        <v>18</v>
      </c>
      <c r="H10" s="21" t="n">
        <v>1.8</v>
      </c>
      <c r="I10" s="20" t="s">
        <v>142</v>
      </c>
      <c r="J10" s="20" t="n">
        <v>30</v>
      </c>
      <c r="K10" s="15" t="n">
        <v>0.2</v>
      </c>
      <c r="L10" s="15" t="n">
        <v>0.2</v>
      </c>
      <c r="M10" s="15" t="n">
        <v>0.2</v>
      </c>
      <c r="N10" s="15" t="n">
        <v>0.2</v>
      </c>
      <c r="O10" s="21" t="n">
        <v>5</v>
      </c>
      <c r="P10" s="20" t="n">
        <v>2000</v>
      </c>
      <c r="Q10" s="11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11" min="6" style="0" width="8"/>
    <col collapsed="false" customWidth="true" hidden="false" outlineLevel="0" max="20" min="12" style="0" width="9"/>
  </cols>
  <sheetData>
    <row r="1" customFormat="false" ht="29.85" hidden="false" customHeight="false" outlineLevel="0" collapsed="false">
      <c r="A1" s="16" t="s">
        <v>123</v>
      </c>
      <c r="B1" s="16" t="s">
        <v>124</v>
      </c>
      <c r="C1" s="16" t="s">
        <v>177</v>
      </c>
      <c r="D1" s="16" t="s">
        <v>178</v>
      </c>
      <c r="E1" s="16" t="s">
        <v>179</v>
      </c>
      <c r="F1" s="16" t="s">
        <v>180</v>
      </c>
      <c r="G1" s="16" t="s">
        <v>181</v>
      </c>
      <c r="H1" s="16" t="s">
        <v>182</v>
      </c>
      <c r="I1" s="16" t="s">
        <v>183</v>
      </c>
      <c r="J1" s="16" t="s">
        <v>184</v>
      </c>
      <c r="K1" s="16" t="s">
        <v>185</v>
      </c>
      <c r="L1" s="16" t="s">
        <v>186</v>
      </c>
      <c r="M1" s="16" t="s">
        <v>187</v>
      </c>
      <c r="N1" s="16" t="s">
        <v>188</v>
      </c>
      <c r="O1" s="16" t="s">
        <v>189</v>
      </c>
      <c r="P1" s="16" t="s">
        <v>190</v>
      </c>
      <c r="Q1" s="16" t="s">
        <v>191</v>
      </c>
      <c r="R1" s="16" t="s">
        <v>192</v>
      </c>
      <c r="S1" s="16" t="s">
        <v>193</v>
      </c>
      <c r="T1" s="16" t="s">
        <v>194</v>
      </c>
    </row>
    <row r="2" customFormat="false" ht="15" hidden="false" customHeight="false" outlineLevel="0" collapsed="false">
      <c r="A2" s="11" t="s">
        <v>195</v>
      </c>
      <c r="B2" s="13" t="s">
        <v>196</v>
      </c>
      <c r="C2" s="11" t="s">
        <v>197</v>
      </c>
      <c r="D2" s="11" t="s">
        <v>198</v>
      </c>
      <c r="E2" s="14" t="n">
        <v>1</v>
      </c>
      <c r="F2" s="14" t="n">
        <v>5</v>
      </c>
      <c r="G2" s="14" t="n">
        <v>15</v>
      </c>
      <c r="H2" s="14" t="n">
        <v>20</v>
      </c>
      <c r="I2" s="14" t="n">
        <v>40</v>
      </c>
      <c r="J2" s="14" t="n">
        <v>45</v>
      </c>
      <c r="K2" s="14" t="n">
        <v>80</v>
      </c>
      <c r="L2" s="22"/>
      <c r="M2" s="22"/>
      <c r="N2" s="22" t="s">
        <v>199</v>
      </c>
      <c r="O2" s="22" t="s">
        <v>199</v>
      </c>
      <c r="P2" s="22"/>
      <c r="Q2" s="22" t="s">
        <v>199</v>
      </c>
      <c r="R2" s="22" t="s">
        <v>199</v>
      </c>
      <c r="S2" s="22" t="s">
        <v>199</v>
      </c>
      <c r="T2" s="22"/>
    </row>
    <row r="3" customFormat="false" ht="15" hidden="false" customHeight="false" outlineLevel="0" collapsed="false">
      <c r="A3" s="11" t="s">
        <v>200</v>
      </c>
      <c r="B3" s="13" t="s">
        <v>201</v>
      </c>
      <c r="C3" s="11" t="s">
        <v>202</v>
      </c>
      <c r="D3" s="11" t="s">
        <v>203</v>
      </c>
      <c r="E3" s="14" t="n">
        <v>1</v>
      </c>
      <c r="F3" s="15" t="n">
        <v>0.03</v>
      </c>
      <c r="G3" s="15" t="n">
        <v>0.06</v>
      </c>
      <c r="H3" s="15" t="n">
        <v>0.07</v>
      </c>
      <c r="I3" s="15" t="n">
        <v>0.12</v>
      </c>
      <c r="J3" s="15" t="n">
        <v>0.13</v>
      </c>
      <c r="K3" s="15" t="n">
        <v>0.2</v>
      </c>
      <c r="L3" s="22" t="s">
        <v>199</v>
      </c>
      <c r="M3" s="22"/>
      <c r="N3" s="22"/>
      <c r="O3" s="22"/>
      <c r="P3" s="22" t="s">
        <v>199</v>
      </c>
      <c r="Q3" s="22"/>
      <c r="R3" s="22"/>
      <c r="S3" s="22" t="s">
        <v>199</v>
      </c>
      <c r="T3" s="22" t="s">
        <v>199</v>
      </c>
    </row>
    <row r="4" customFormat="false" ht="15" hidden="false" customHeight="false" outlineLevel="0" collapsed="false">
      <c r="A4" s="11" t="s">
        <v>204</v>
      </c>
      <c r="B4" s="13" t="s">
        <v>205</v>
      </c>
      <c r="C4" s="11" t="s">
        <v>206</v>
      </c>
      <c r="D4" s="11" t="s">
        <v>203</v>
      </c>
      <c r="E4" s="14" t="n">
        <v>1</v>
      </c>
      <c r="F4" s="15" t="n">
        <v>0.1</v>
      </c>
      <c r="G4" s="15" t="n">
        <v>0.25</v>
      </c>
      <c r="H4" s="15" t="n">
        <v>0.26</v>
      </c>
      <c r="I4" s="15" t="n">
        <v>0.5</v>
      </c>
      <c r="J4" s="15" t="n">
        <v>0.51</v>
      </c>
      <c r="K4" s="15" t="n">
        <v>0.8</v>
      </c>
      <c r="L4" s="22" t="s">
        <v>199</v>
      </c>
      <c r="M4" s="22"/>
      <c r="N4" s="22"/>
      <c r="O4" s="22"/>
      <c r="P4" s="22"/>
      <c r="Q4" s="22"/>
      <c r="R4" s="22"/>
      <c r="S4" s="22"/>
      <c r="T4" s="22"/>
    </row>
    <row r="5" customFormat="false" ht="15" hidden="false" customHeight="false" outlineLevel="0" collapsed="false">
      <c r="A5" s="11" t="s">
        <v>207</v>
      </c>
      <c r="B5" s="13" t="s">
        <v>208</v>
      </c>
      <c r="C5" s="11" t="s">
        <v>209</v>
      </c>
      <c r="D5" s="11" t="s">
        <v>203</v>
      </c>
      <c r="E5" s="14" t="n">
        <v>5</v>
      </c>
      <c r="F5" s="15" t="n">
        <v>0.04</v>
      </c>
      <c r="G5" s="15" t="n">
        <v>0.08</v>
      </c>
      <c r="H5" s="15" t="n">
        <v>0.09</v>
      </c>
      <c r="I5" s="15" t="n">
        <v>0.15</v>
      </c>
      <c r="J5" s="15" t="n">
        <v>0.16</v>
      </c>
      <c r="K5" s="15" t="n">
        <v>0.25</v>
      </c>
      <c r="L5" s="22"/>
      <c r="M5" s="22" t="s">
        <v>199</v>
      </c>
      <c r="N5" s="22"/>
      <c r="O5" s="22"/>
      <c r="P5" s="22"/>
      <c r="Q5" s="22"/>
      <c r="R5" s="22"/>
      <c r="S5" s="22" t="s">
        <v>199</v>
      </c>
      <c r="T5" s="22"/>
    </row>
    <row r="6" customFormat="false" ht="15" hidden="false" customHeight="false" outlineLevel="0" collapsed="false">
      <c r="A6" s="11" t="s">
        <v>210</v>
      </c>
      <c r="B6" s="13" t="s">
        <v>211</v>
      </c>
      <c r="C6" s="11" t="s">
        <v>212</v>
      </c>
      <c r="D6" s="11" t="s">
        <v>203</v>
      </c>
      <c r="E6" s="14" t="n">
        <v>5</v>
      </c>
      <c r="F6" s="15" t="n">
        <v>0.05</v>
      </c>
      <c r="G6" s="15" t="n">
        <v>0.1</v>
      </c>
      <c r="H6" s="15" t="n">
        <v>0.11</v>
      </c>
      <c r="I6" s="15" t="n">
        <v>0.2</v>
      </c>
      <c r="J6" s="15" t="n">
        <v>0.21</v>
      </c>
      <c r="K6" s="15" t="n">
        <v>0.3</v>
      </c>
      <c r="L6" s="22"/>
      <c r="M6" s="22" t="s">
        <v>199</v>
      </c>
      <c r="N6" s="22"/>
      <c r="O6" s="22"/>
      <c r="P6" s="22"/>
      <c r="Q6" s="22"/>
      <c r="R6" s="22"/>
      <c r="S6" s="22" t="s">
        <v>199</v>
      </c>
      <c r="T6" s="22"/>
    </row>
    <row r="7" customFormat="false" ht="15" hidden="false" customHeight="false" outlineLevel="0" collapsed="false">
      <c r="A7" s="11" t="s">
        <v>213</v>
      </c>
      <c r="B7" s="13" t="s">
        <v>214</v>
      </c>
      <c r="C7" s="11" t="s">
        <v>215</v>
      </c>
      <c r="D7" s="11" t="s">
        <v>198</v>
      </c>
      <c r="E7" s="14" t="n">
        <v>5</v>
      </c>
      <c r="F7" s="14" t="n">
        <v>2</v>
      </c>
      <c r="G7" s="14" t="n">
        <v>5</v>
      </c>
      <c r="H7" s="14" t="n">
        <v>6</v>
      </c>
      <c r="I7" s="14" t="n">
        <v>15</v>
      </c>
      <c r="J7" s="14" t="n">
        <v>16</v>
      </c>
      <c r="K7" s="14" t="n">
        <v>35</v>
      </c>
      <c r="L7" s="22" t="s">
        <v>199</v>
      </c>
      <c r="M7" s="22"/>
      <c r="N7" s="22"/>
      <c r="O7" s="22"/>
      <c r="P7" s="22"/>
      <c r="Q7" s="22"/>
      <c r="R7" s="22"/>
      <c r="S7" s="22"/>
      <c r="T7" s="22"/>
    </row>
    <row r="8" customFormat="false" ht="15" hidden="false" customHeight="false" outlineLevel="0" collapsed="false">
      <c r="A8" s="11" t="s">
        <v>216</v>
      </c>
      <c r="B8" s="13" t="s">
        <v>217</v>
      </c>
      <c r="C8" s="11" t="s">
        <v>218</v>
      </c>
      <c r="D8" s="11" t="s">
        <v>203</v>
      </c>
      <c r="E8" s="14" t="n">
        <v>5</v>
      </c>
      <c r="F8" s="15" t="n">
        <v>0.03</v>
      </c>
      <c r="G8" s="15" t="n">
        <v>0.05</v>
      </c>
      <c r="H8" s="15" t="n">
        <v>0.06</v>
      </c>
      <c r="I8" s="15" t="n">
        <v>0.1</v>
      </c>
      <c r="J8" s="15" t="n">
        <v>0.11</v>
      </c>
      <c r="K8" s="15" t="n">
        <v>0.15</v>
      </c>
      <c r="L8" s="22" t="s">
        <v>199</v>
      </c>
      <c r="M8" s="22"/>
      <c r="N8" s="22"/>
      <c r="O8" s="22"/>
      <c r="P8" s="22" t="s">
        <v>199</v>
      </c>
      <c r="Q8" s="22"/>
      <c r="R8" s="22"/>
      <c r="S8" s="22"/>
      <c r="T8" s="22"/>
    </row>
    <row r="9" customFormat="false" ht="15" hidden="false" customHeight="false" outlineLevel="0" collapsed="false">
      <c r="A9" s="11" t="s">
        <v>219</v>
      </c>
      <c r="B9" s="13" t="s">
        <v>220</v>
      </c>
      <c r="C9" s="11" t="s">
        <v>221</v>
      </c>
      <c r="D9" s="11" t="s">
        <v>198</v>
      </c>
      <c r="E9" s="14" t="n">
        <v>5</v>
      </c>
      <c r="F9" s="15" t="n">
        <v>0.01</v>
      </c>
      <c r="G9" s="15" t="n">
        <v>0.02</v>
      </c>
      <c r="H9" s="15" t="n">
        <v>0.02</v>
      </c>
      <c r="I9" s="15" t="n">
        <v>0.04</v>
      </c>
      <c r="J9" s="15" t="n">
        <v>0.04</v>
      </c>
      <c r="K9" s="15" t="n">
        <v>0.06</v>
      </c>
      <c r="L9" s="22"/>
      <c r="M9" s="22"/>
      <c r="N9" s="22"/>
      <c r="O9" s="22"/>
      <c r="P9" s="22" t="s">
        <v>199</v>
      </c>
      <c r="Q9" s="22"/>
      <c r="R9" s="22"/>
      <c r="S9" s="22" t="s">
        <v>199</v>
      </c>
      <c r="T9" s="22" t="s">
        <v>199</v>
      </c>
    </row>
    <row r="10" customFormat="false" ht="15" hidden="false" customHeight="false" outlineLevel="0" collapsed="false">
      <c r="A10" s="11" t="s">
        <v>222</v>
      </c>
      <c r="B10" s="13" t="s">
        <v>223</v>
      </c>
      <c r="C10" s="11" t="s">
        <v>224</v>
      </c>
      <c r="D10" s="11" t="s">
        <v>198</v>
      </c>
      <c r="E10" s="14" t="n">
        <v>5</v>
      </c>
      <c r="F10" s="15" t="n">
        <v>0.05</v>
      </c>
      <c r="G10" s="15" t="n">
        <v>0.1</v>
      </c>
      <c r="H10" s="15" t="n">
        <v>0.11</v>
      </c>
      <c r="I10" s="15" t="n">
        <v>0.2</v>
      </c>
      <c r="J10" s="15" t="n">
        <v>0.21</v>
      </c>
      <c r="K10" s="15" t="n">
        <v>0.35</v>
      </c>
      <c r="L10" s="22" t="s">
        <v>199</v>
      </c>
      <c r="M10" s="22"/>
      <c r="N10" s="22"/>
      <c r="O10" s="22"/>
      <c r="P10" s="22"/>
      <c r="Q10" s="22"/>
      <c r="R10" s="22"/>
      <c r="S10" s="22" t="s">
        <v>199</v>
      </c>
      <c r="T10" s="22" t="s">
        <v>199</v>
      </c>
    </row>
    <row r="11" customFormat="false" ht="15" hidden="false" customHeight="false" outlineLevel="0" collapsed="false">
      <c r="A11" s="11" t="s">
        <v>225</v>
      </c>
      <c r="B11" s="13" t="s">
        <v>226</v>
      </c>
      <c r="C11" s="11" t="s">
        <v>131</v>
      </c>
      <c r="D11" s="11" t="s">
        <v>198</v>
      </c>
      <c r="E11" s="14" t="n">
        <v>1</v>
      </c>
      <c r="F11" s="14" t="n">
        <v>5</v>
      </c>
      <c r="G11" s="14" t="n">
        <v>15</v>
      </c>
      <c r="H11" s="14" t="n">
        <v>20</v>
      </c>
      <c r="I11" s="14" t="n">
        <v>50</v>
      </c>
      <c r="J11" s="14" t="n">
        <v>55</v>
      </c>
      <c r="K11" s="14" t="n">
        <v>120</v>
      </c>
      <c r="L11" s="22"/>
      <c r="M11" s="22"/>
      <c r="N11" s="22" t="s">
        <v>199</v>
      </c>
      <c r="O11" s="22"/>
      <c r="P11" s="22" t="s">
        <v>199</v>
      </c>
      <c r="Q11" s="22" t="s">
        <v>199</v>
      </c>
      <c r="R11" s="22" t="s">
        <v>199</v>
      </c>
      <c r="S11" s="22"/>
      <c r="T11" s="22"/>
    </row>
    <row r="12" customFormat="false" ht="15" hidden="false" customHeight="false" outlineLevel="0" collapsed="false">
      <c r="A12" s="11" t="s">
        <v>227</v>
      </c>
      <c r="B12" s="13" t="s">
        <v>228</v>
      </c>
      <c r="C12" s="11" t="s">
        <v>229</v>
      </c>
      <c r="D12" s="11" t="s">
        <v>203</v>
      </c>
      <c r="E12" s="14" t="n">
        <v>1</v>
      </c>
      <c r="F12" s="15" t="n">
        <v>0.1</v>
      </c>
      <c r="G12" s="15" t="n">
        <v>0.25</v>
      </c>
      <c r="H12" s="15" t="n">
        <v>0.26</v>
      </c>
      <c r="I12" s="15" t="n">
        <v>0.5</v>
      </c>
      <c r="J12" s="15" t="n">
        <v>0.51</v>
      </c>
      <c r="K12" s="15" t="n">
        <v>0.8</v>
      </c>
      <c r="L12" s="22"/>
      <c r="M12" s="22"/>
      <c r="N12" s="22"/>
      <c r="O12" s="22" t="s">
        <v>199</v>
      </c>
      <c r="P12" s="22"/>
      <c r="Q12" s="22"/>
      <c r="R12" s="22"/>
      <c r="S12" s="22"/>
      <c r="T12" s="22"/>
    </row>
    <row r="13" customFormat="false" ht="15" hidden="false" customHeight="false" outlineLevel="0" collapsed="false">
      <c r="A13" s="11" t="s">
        <v>230</v>
      </c>
      <c r="B13" s="13" t="s">
        <v>231</v>
      </c>
      <c r="C13" s="11" t="s">
        <v>132</v>
      </c>
      <c r="D13" s="11" t="s">
        <v>198</v>
      </c>
      <c r="E13" s="14" t="n">
        <v>1</v>
      </c>
      <c r="F13" s="15" t="n">
        <v>0.05</v>
      </c>
      <c r="G13" s="15" t="n">
        <v>0.1</v>
      </c>
      <c r="H13" s="15" t="n">
        <v>0.1</v>
      </c>
      <c r="I13" s="15" t="n">
        <v>0.2</v>
      </c>
      <c r="J13" s="15" t="n">
        <v>0.2</v>
      </c>
      <c r="K13" s="15" t="n">
        <v>0.3</v>
      </c>
      <c r="L13" s="22"/>
      <c r="M13" s="22"/>
      <c r="N13" s="22" t="s">
        <v>199</v>
      </c>
      <c r="O13" s="22" t="s">
        <v>199</v>
      </c>
      <c r="P13" s="22"/>
      <c r="Q13" s="22" t="s">
        <v>199</v>
      </c>
      <c r="R13" s="22" t="s">
        <v>199</v>
      </c>
      <c r="S13" s="22" t="s">
        <v>199</v>
      </c>
      <c r="T13" s="22" t="s">
        <v>199</v>
      </c>
    </row>
    <row r="14" customFormat="false" ht="15" hidden="false" customHeight="false" outlineLevel="0" collapsed="false">
      <c r="A14" s="11" t="s">
        <v>232</v>
      </c>
      <c r="B14" s="13" t="s">
        <v>233</v>
      </c>
      <c r="C14" s="11" t="s">
        <v>133</v>
      </c>
      <c r="D14" s="11" t="s">
        <v>198</v>
      </c>
      <c r="E14" s="14" t="n">
        <v>1</v>
      </c>
      <c r="F14" s="15" t="n">
        <v>0.05</v>
      </c>
      <c r="G14" s="15" t="n">
        <v>0.1</v>
      </c>
      <c r="H14" s="15" t="n">
        <v>0.1</v>
      </c>
      <c r="I14" s="15" t="n">
        <v>0.2</v>
      </c>
      <c r="J14" s="15" t="n">
        <v>0.2</v>
      </c>
      <c r="K14" s="15" t="n">
        <v>0.3</v>
      </c>
      <c r="L14" s="22"/>
      <c r="M14" s="22"/>
      <c r="N14" s="22" t="s">
        <v>199</v>
      </c>
      <c r="O14" s="22" t="s">
        <v>199</v>
      </c>
      <c r="P14" s="22"/>
      <c r="Q14" s="22" t="s">
        <v>199</v>
      </c>
      <c r="R14" s="22" t="s">
        <v>199</v>
      </c>
      <c r="S14" s="22" t="s">
        <v>199</v>
      </c>
      <c r="T14" s="22" t="s">
        <v>199</v>
      </c>
    </row>
    <row r="15" customFormat="false" ht="15" hidden="false" customHeight="false" outlineLevel="0" collapsed="false">
      <c r="A15" s="11" t="s">
        <v>234</v>
      </c>
      <c r="B15" s="13" t="s">
        <v>235</v>
      </c>
      <c r="C15" s="11" t="s">
        <v>134</v>
      </c>
      <c r="D15" s="11" t="s">
        <v>198</v>
      </c>
      <c r="E15" s="14" t="n">
        <v>1</v>
      </c>
      <c r="F15" s="15" t="n">
        <v>0.05</v>
      </c>
      <c r="G15" s="15" t="n">
        <v>0.1</v>
      </c>
      <c r="H15" s="15" t="n">
        <v>0.1</v>
      </c>
      <c r="I15" s="15" t="n">
        <v>0.2</v>
      </c>
      <c r="J15" s="15" t="n">
        <v>0.2</v>
      </c>
      <c r="K15" s="15" t="n">
        <v>0.3</v>
      </c>
      <c r="L15" s="22"/>
      <c r="M15" s="22"/>
      <c r="N15" s="22" t="s">
        <v>199</v>
      </c>
      <c r="O15" s="22" t="s">
        <v>199</v>
      </c>
      <c r="P15" s="22"/>
      <c r="Q15" s="22" t="s">
        <v>199</v>
      </c>
      <c r="R15" s="22" t="s">
        <v>199</v>
      </c>
      <c r="S15" s="22" t="s">
        <v>199</v>
      </c>
      <c r="T15" s="22" t="s">
        <v>199</v>
      </c>
    </row>
    <row r="16" customFormat="false" ht="15" hidden="false" customHeight="false" outlineLevel="0" collapsed="false">
      <c r="A16" s="11" t="s">
        <v>236</v>
      </c>
      <c r="B16" s="13" t="s">
        <v>237</v>
      </c>
      <c r="C16" s="11" t="s">
        <v>135</v>
      </c>
      <c r="D16" s="11" t="s">
        <v>198</v>
      </c>
      <c r="E16" s="14" t="n">
        <v>1</v>
      </c>
      <c r="F16" s="15" t="n">
        <v>0.05</v>
      </c>
      <c r="G16" s="15" t="n">
        <v>0.1</v>
      </c>
      <c r="H16" s="15" t="n">
        <v>0.1</v>
      </c>
      <c r="I16" s="15" t="n">
        <v>0.2</v>
      </c>
      <c r="J16" s="15" t="n">
        <v>0.2</v>
      </c>
      <c r="K16" s="15" t="n">
        <v>0.3</v>
      </c>
      <c r="L16" s="22"/>
      <c r="M16" s="22"/>
      <c r="N16" s="22" t="s">
        <v>199</v>
      </c>
      <c r="O16" s="22" t="s">
        <v>199</v>
      </c>
      <c r="P16" s="22"/>
      <c r="Q16" s="22" t="s">
        <v>199</v>
      </c>
      <c r="R16" s="22" t="s">
        <v>199</v>
      </c>
      <c r="S16" s="22" t="s">
        <v>199</v>
      </c>
      <c r="T16" s="22" t="s">
        <v>199</v>
      </c>
    </row>
    <row r="17" customFormat="false" ht="15" hidden="false" customHeight="false" outlineLevel="0" collapsed="false">
      <c r="A17" s="11" t="s">
        <v>238</v>
      </c>
      <c r="B17" s="13" t="s">
        <v>239</v>
      </c>
      <c r="C17" s="11" t="s">
        <v>240</v>
      </c>
      <c r="D17" s="11" t="s">
        <v>198</v>
      </c>
      <c r="E17" s="14" t="n">
        <v>15</v>
      </c>
      <c r="F17" s="15" t="n">
        <v>0.03</v>
      </c>
      <c r="G17" s="15" t="n">
        <v>0.05</v>
      </c>
      <c r="H17" s="15" t="n">
        <v>0.05</v>
      </c>
      <c r="I17" s="15" t="n">
        <v>0.1</v>
      </c>
      <c r="J17" s="15" t="n">
        <v>0.1</v>
      </c>
      <c r="K17" s="15" t="n">
        <v>0.15</v>
      </c>
      <c r="L17" s="22"/>
      <c r="M17" s="22"/>
      <c r="N17" s="22"/>
      <c r="O17" s="22"/>
      <c r="P17" s="22"/>
      <c r="Q17" s="22"/>
      <c r="R17" s="22"/>
      <c r="S17" s="22" t="s">
        <v>199</v>
      </c>
      <c r="T17" s="22"/>
    </row>
    <row r="18" customFormat="false" ht="15" hidden="false" customHeight="false" outlineLevel="0" collapsed="false">
      <c r="A18" s="11" t="s">
        <v>241</v>
      </c>
      <c r="B18" s="13" t="s">
        <v>242</v>
      </c>
      <c r="C18" s="11" t="s">
        <v>243</v>
      </c>
      <c r="D18" s="11" t="s">
        <v>203</v>
      </c>
      <c r="E18" s="14" t="n">
        <v>10</v>
      </c>
      <c r="F18" s="15" t="n">
        <v>0.02</v>
      </c>
      <c r="G18" s="15" t="n">
        <v>0.03</v>
      </c>
      <c r="H18" s="15" t="n">
        <v>0.03</v>
      </c>
      <c r="I18" s="15" t="n">
        <v>0.05</v>
      </c>
      <c r="J18" s="15" t="n">
        <v>0.05</v>
      </c>
      <c r="K18" s="15" t="n">
        <v>0.08</v>
      </c>
      <c r="L18" s="22"/>
      <c r="M18" s="22"/>
      <c r="N18" s="22"/>
      <c r="O18" s="22" t="s">
        <v>199</v>
      </c>
      <c r="P18" s="22"/>
      <c r="Q18" s="22"/>
      <c r="R18" s="22"/>
      <c r="S18" s="22"/>
      <c r="T18" s="22"/>
    </row>
    <row r="19" customFormat="false" ht="15" hidden="false" customHeight="false" outlineLevel="0" collapsed="false">
      <c r="A19" s="11" t="s">
        <v>244</v>
      </c>
      <c r="B19" s="13" t="s">
        <v>245</v>
      </c>
      <c r="C19" s="11" t="s">
        <v>246</v>
      </c>
      <c r="D19" s="11" t="s">
        <v>198</v>
      </c>
      <c r="E19" s="14" t="n">
        <v>1</v>
      </c>
      <c r="F19" s="14" t="n">
        <v>1</v>
      </c>
      <c r="G19" s="14" t="n">
        <v>2</v>
      </c>
      <c r="H19" s="14" t="n">
        <v>3</v>
      </c>
      <c r="I19" s="14" t="n">
        <v>6</v>
      </c>
      <c r="J19" s="14" t="n">
        <v>7</v>
      </c>
      <c r="K19" s="14" t="n">
        <v>12</v>
      </c>
      <c r="L19" s="22"/>
      <c r="M19" s="22"/>
      <c r="N19" s="22"/>
      <c r="O19" s="22" t="s">
        <v>199</v>
      </c>
      <c r="P19" s="22"/>
      <c r="Q19" s="22"/>
      <c r="R19" s="22"/>
      <c r="S19" s="22"/>
      <c r="T19" s="22"/>
    </row>
    <row r="20" customFormat="false" ht="15" hidden="false" customHeight="false" outlineLevel="0" collapsed="false">
      <c r="A20" s="11" t="s">
        <v>247</v>
      </c>
      <c r="B20" s="13" t="s">
        <v>248</v>
      </c>
      <c r="C20" s="11" t="s">
        <v>249</v>
      </c>
      <c r="D20" s="11" t="s">
        <v>198</v>
      </c>
      <c r="E20" s="14" t="n">
        <v>1</v>
      </c>
      <c r="F20" s="14" t="n">
        <v>2</v>
      </c>
      <c r="G20" s="14" t="n">
        <v>5</v>
      </c>
      <c r="H20" s="14" t="n">
        <v>6</v>
      </c>
      <c r="I20" s="14" t="n">
        <v>12</v>
      </c>
      <c r="J20" s="14" t="n">
        <v>13</v>
      </c>
      <c r="K20" s="14" t="n">
        <v>25</v>
      </c>
      <c r="L20" s="22" t="s">
        <v>199</v>
      </c>
      <c r="M20" s="22"/>
      <c r="N20" s="22"/>
      <c r="O20" s="22"/>
      <c r="P20" s="22"/>
      <c r="Q20" s="22"/>
      <c r="R20" s="22"/>
      <c r="S20" s="22"/>
      <c r="T20" s="22"/>
    </row>
    <row r="21" customFormat="false" ht="15" hidden="false" customHeight="false" outlineLevel="0" collapsed="false">
      <c r="A21" s="11" t="s">
        <v>250</v>
      </c>
      <c r="B21" s="13" t="s">
        <v>251</v>
      </c>
      <c r="C21" s="11" t="s">
        <v>252</v>
      </c>
      <c r="D21" s="11" t="s">
        <v>198</v>
      </c>
      <c r="E21" s="14" t="n">
        <v>1</v>
      </c>
      <c r="F21" s="14" t="n">
        <v>5</v>
      </c>
      <c r="G21" s="14" t="n">
        <v>10</v>
      </c>
      <c r="H21" s="14" t="n">
        <v>11</v>
      </c>
      <c r="I21" s="14" t="n">
        <v>20</v>
      </c>
      <c r="J21" s="14" t="n">
        <v>21</v>
      </c>
      <c r="K21" s="14" t="n">
        <v>30</v>
      </c>
      <c r="L21" s="22"/>
      <c r="M21" s="22"/>
      <c r="N21" s="22" t="s">
        <v>199</v>
      </c>
      <c r="O21" s="22"/>
      <c r="P21" s="22"/>
      <c r="Q21" s="22"/>
      <c r="R21" s="22"/>
      <c r="S21" s="22" t="s">
        <v>199</v>
      </c>
      <c r="T21" s="22"/>
    </row>
    <row r="22" customFormat="false" ht="15" hidden="false" customHeight="false" outlineLevel="0" collapsed="false">
      <c r="A22" s="11" t="s">
        <v>253</v>
      </c>
      <c r="B22" s="13" t="s">
        <v>254</v>
      </c>
      <c r="C22" s="11" t="s">
        <v>83</v>
      </c>
      <c r="D22" s="11" t="s">
        <v>198</v>
      </c>
      <c r="E22" s="14" t="n">
        <v>5</v>
      </c>
      <c r="F22" s="21" t="n">
        <v>0.5</v>
      </c>
      <c r="G22" s="21" t="n">
        <v>1</v>
      </c>
      <c r="H22" s="21" t="n">
        <v>1</v>
      </c>
      <c r="I22" s="21" t="n">
        <v>2</v>
      </c>
      <c r="J22" s="21" t="n">
        <v>2</v>
      </c>
      <c r="K22" s="21" t="n">
        <v>3</v>
      </c>
      <c r="L22" s="22"/>
      <c r="M22" s="22"/>
      <c r="N22" s="22"/>
      <c r="O22" s="22"/>
      <c r="P22" s="22"/>
      <c r="Q22" s="22"/>
      <c r="R22" s="22"/>
      <c r="S22" s="22" t="s">
        <v>199</v>
      </c>
      <c r="T22" s="22" t="s">
        <v>199</v>
      </c>
    </row>
    <row r="23" customFormat="false" ht="15" hidden="false" customHeight="false" outlineLevel="0" collapsed="false">
      <c r="A23" s="11" t="s">
        <v>255</v>
      </c>
      <c r="B23" s="13" t="s">
        <v>256</v>
      </c>
      <c r="C23" s="11" t="s">
        <v>257</v>
      </c>
      <c r="D23" s="11" t="s">
        <v>198</v>
      </c>
      <c r="E23" s="14" t="n">
        <v>10</v>
      </c>
      <c r="F23" s="15" t="n">
        <v>0.03</v>
      </c>
      <c r="G23" s="15" t="n">
        <v>0.05</v>
      </c>
      <c r="H23" s="15" t="n">
        <v>0.05</v>
      </c>
      <c r="I23" s="15" t="n">
        <v>0.08</v>
      </c>
      <c r="J23" s="15" t="n">
        <v>0.08</v>
      </c>
      <c r="K23" s="15" t="n">
        <v>0.12</v>
      </c>
      <c r="L23" s="22"/>
      <c r="M23" s="22" t="s">
        <v>199</v>
      </c>
      <c r="N23" s="22"/>
      <c r="O23" s="22"/>
      <c r="P23" s="22"/>
      <c r="Q23" s="22"/>
      <c r="R23" s="22"/>
      <c r="S23" s="22"/>
      <c r="T23" s="22"/>
    </row>
    <row r="24" customFormat="false" ht="15" hidden="false" customHeight="false" outlineLevel="0" collapsed="false">
      <c r="A24" s="11" t="s">
        <v>258</v>
      </c>
      <c r="B24" s="13" t="s">
        <v>259</v>
      </c>
      <c r="C24" s="11" t="s">
        <v>260</v>
      </c>
      <c r="D24" s="11" t="s">
        <v>198</v>
      </c>
      <c r="E24" s="14" t="n">
        <v>10</v>
      </c>
      <c r="F24" s="15" t="n">
        <v>0.03</v>
      </c>
      <c r="G24" s="15" t="n">
        <v>0.05</v>
      </c>
      <c r="H24" s="15" t="n">
        <v>0.05</v>
      </c>
      <c r="I24" s="15" t="n">
        <v>0.08</v>
      </c>
      <c r="J24" s="15" t="n">
        <v>0.08</v>
      </c>
      <c r="K24" s="15" t="n">
        <v>0.12</v>
      </c>
      <c r="L24" s="22"/>
      <c r="M24" s="22" t="s">
        <v>199</v>
      </c>
      <c r="N24" s="22" t="s">
        <v>199</v>
      </c>
      <c r="O24" s="22"/>
      <c r="P24" s="22"/>
      <c r="Q24" s="22"/>
      <c r="R24" s="22"/>
      <c r="S24" s="22"/>
      <c r="T24" s="22"/>
    </row>
    <row r="25" customFormat="false" ht="15" hidden="false" customHeight="false" outlineLevel="0" collapsed="false">
      <c r="A25" s="11" t="s">
        <v>261</v>
      </c>
      <c r="B25" s="13" t="s">
        <v>262</v>
      </c>
      <c r="C25" s="11" t="s">
        <v>263</v>
      </c>
      <c r="D25" s="11" t="s">
        <v>203</v>
      </c>
      <c r="E25" s="14" t="n">
        <v>1</v>
      </c>
      <c r="F25" s="15" t="n">
        <v>0.03</v>
      </c>
      <c r="G25" s="15" t="n">
        <v>0.05</v>
      </c>
      <c r="H25" s="15" t="n">
        <v>0.06</v>
      </c>
      <c r="I25" s="15" t="n">
        <v>0.1</v>
      </c>
      <c r="J25" s="15" t="n">
        <v>0.1</v>
      </c>
      <c r="K25" s="15" t="n">
        <v>0.15</v>
      </c>
      <c r="L25" s="22"/>
      <c r="M25" s="22"/>
      <c r="N25" s="22"/>
      <c r="O25" s="22"/>
      <c r="P25" s="22"/>
      <c r="Q25" s="22"/>
      <c r="R25" s="22" t="s">
        <v>199</v>
      </c>
      <c r="S25" s="22"/>
      <c r="T25" s="22"/>
    </row>
    <row r="26" customFormat="false" ht="15" hidden="false" customHeight="false" outlineLevel="0" collapsed="false">
      <c r="A26" s="11" t="s">
        <v>264</v>
      </c>
      <c r="B26" s="13" t="s">
        <v>265</v>
      </c>
      <c r="C26" s="11" t="s">
        <v>266</v>
      </c>
      <c r="D26" s="11" t="s">
        <v>203</v>
      </c>
      <c r="E26" s="14" t="n">
        <v>5</v>
      </c>
      <c r="F26" s="15" t="n">
        <v>0.05</v>
      </c>
      <c r="G26" s="15" t="n">
        <v>0.1</v>
      </c>
      <c r="H26" s="15" t="n">
        <v>0.11</v>
      </c>
      <c r="I26" s="15" t="n">
        <v>0.2</v>
      </c>
      <c r="J26" s="15" t="n">
        <v>0.21</v>
      </c>
      <c r="K26" s="15" t="n">
        <v>0.3</v>
      </c>
      <c r="L26" s="22"/>
      <c r="M26" s="22"/>
      <c r="N26" s="22"/>
      <c r="O26" s="22"/>
      <c r="P26" s="22"/>
      <c r="Q26" s="22" t="s">
        <v>199</v>
      </c>
      <c r="R26" s="22"/>
      <c r="S26" s="22"/>
      <c r="T26" s="22"/>
    </row>
    <row r="27" customFormat="false" ht="15" hidden="false" customHeight="false" outlineLevel="0" collapsed="false">
      <c r="A27" s="11" t="s">
        <v>267</v>
      </c>
      <c r="B27" s="13" t="s">
        <v>268</v>
      </c>
      <c r="C27" s="11" t="s">
        <v>269</v>
      </c>
      <c r="D27" s="11" t="s">
        <v>198</v>
      </c>
      <c r="E27" s="14" t="n">
        <v>5</v>
      </c>
      <c r="F27" s="15" t="n">
        <v>0.05</v>
      </c>
      <c r="G27" s="15" t="n">
        <v>0.1</v>
      </c>
      <c r="H27" s="15" t="n">
        <v>0.11</v>
      </c>
      <c r="I27" s="15" t="n">
        <v>0.2</v>
      </c>
      <c r="J27" s="15" t="n">
        <v>0.21</v>
      </c>
      <c r="K27" s="15" t="n">
        <v>0.35</v>
      </c>
      <c r="L27" s="22"/>
      <c r="M27" s="22"/>
      <c r="N27" s="22"/>
      <c r="O27" s="22"/>
      <c r="P27" s="22"/>
      <c r="Q27" s="22"/>
      <c r="R27" s="22"/>
      <c r="S27" s="22"/>
      <c r="T27" s="22" t="s">
        <v>199</v>
      </c>
    </row>
    <row r="28" customFormat="false" ht="15" hidden="false" customHeight="false" outlineLevel="0" collapsed="false">
      <c r="A28" s="11" t="s">
        <v>270</v>
      </c>
      <c r="B28" s="13" t="s">
        <v>271</v>
      </c>
      <c r="C28" s="11" t="s">
        <v>272</v>
      </c>
      <c r="D28" s="11" t="s">
        <v>198</v>
      </c>
      <c r="E28" s="14" t="n">
        <v>1</v>
      </c>
      <c r="F28" s="15" t="n">
        <v>0.1</v>
      </c>
      <c r="G28" s="15" t="n">
        <v>0.2</v>
      </c>
      <c r="H28" s="15" t="n">
        <v>0.21</v>
      </c>
      <c r="I28" s="15" t="n">
        <v>0.4</v>
      </c>
      <c r="J28" s="15" t="n">
        <v>0.41</v>
      </c>
      <c r="K28" s="15" t="n">
        <v>0.6</v>
      </c>
      <c r="L28" s="22"/>
      <c r="M28" s="22"/>
      <c r="N28" s="22"/>
      <c r="O28" s="22"/>
      <c r="P28" s="22"/>
      <c r="Q28" s="22"/>
      <c r="R28" s="22"/>
      <c r="S28" s="22"/>
      <c r="T28" s="22" t="s">
        <v>199</v>
      </c>
    </row>
    <row r="29" customFormat="false" ht="15" hidden="false" customHeight="false" outlineLevel="0" collapsed="false">
      <c r="A29" s="11" t="s">
        <v>273</v>
      </c>
      <c r="B29" s="13" t="s">
        <v>274</v>
      </c>
      <c r="C29" s="11" t="s">
        <v>275</v>
      </c>
      <c r="D29" s="11" t="s">
        <v>198</v>
      </c>
      <c r="E29" s="14" t="n">
        <v>20</v>
      </c>
      <c r="F29" s="14" t="n">
        <v>1</v>
      </c>
      <c r="G29" s="14" t="n">
        <v>1</v>
      </c>
      <c r="H29" s="14" t="n">
        <v>1</v>
      </c>
      <c r="I29" s="14" t="n">
        <v>1</v>
      </c>
      <c r="J29" s="14" t="n">
        <v>1</v>
      </c>
      <c r="K29" s="14" t="n">
        <v>2</v>
      </c>
      <c r="L29" s="22"/>
      <c r="M29" s="22"/>
      <c r="N29" s="22"/>
      <c r="O29" s="22"/>
      <c r="P29" s="22"/>
      <c r="Q29" s="22"/>
      <c r="R29" s="22"/>
      <c r="S29" s="22" t="s">
        <v>199</v>
      </c>
      <c r="T29" s="22"/>
    </row>
    <row r="30" customFormat="false" ht="15" hidden="false" customHeight="false" outlineLevel="0" collapsed="false">
      <c r="A30" s="11" t="s">
        <v>276</v>
      </c>
      <c r="B30" s="13" t="s">
        <v>277</v>
      </c>
      <c r="C30" s="11" t="s">
        <v>278</v>
      </c>
      <c r="D30" s="11" t="s">
        <v>198</v>
      </c>
      <c r="E30" s="14" t="n">
        <v>30</v>
      </c>
      <c r="F30" s="15" t="n">
        <v>0</v>
      </c>
      <c r="G30" s="15" t="n">
        <v>0</v>
      </c>
      <c r="H30" s="15" t="n">
        <v>0.01</v>
      </c>
      <c r="I30" s="15" t="n">
        <v>0.02</v>
      </c>
      <c r="J30" s="15" t="n">
        <v>0.02</v>
      </c>
      <c r="K30" s="15" t="n">
        <v>0.05</v>
      </c>
      <c r="L30" s="22"/>
      <c r="M30" s="22"/>
      <c r="N30" s="22"/>
      <c r="O30" s="22" t="s">
        <v>199</v>
      </c>
      <c r="P30" s="22"/>
      <c r="Q30" s="22"/>
      <c r="R30" s="22"/>
      <c r="S30" s="22"/>
      <c r="T30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6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34"/>
  </cols>
  <sheetData>
    <row r="1" customFormat="false" ht="29.85" hidden="false" customHeight="false" outlineLevel="0" collapsed="false">
      <c r="A1" s="16" t="s">
        <v>123</v>
      </c>
      <c r="B1" s="16" t="s">
        <v>126</v>
      </c>
      <c r="C1" s="16" t="s">
        <v>279</v>
      </c>
      <c r="D1" s="16" t="s">
        <v>124</v>
      </c>
      <c r="E1" s="16" t="s">
        <v>280</v>
      </c>
      <c r="F1" s="16" t="s">
        <v>281</v>
      </c>
      <c r="G1" s="16" t="s">
        <v>282</v>
      </c>
      <c r="H1" s="16" t="s">
        <v>283</v>
      </c>
      <c r="I1" s="16" t="s">
        <v>138</v>
      </c>
    </row>
    <row r="2" customFormat="false" ht="15" hidden="false" customHeight="false" outlineLevel="0" collapsed="false">
      <c r="A2" s="11" t="s">
        <v>284</v>
      </c>
      <c r="B2" s="11" t="n">
        <v>1</v>
      </c>
      <c r="C2" s="11" t="n">
        <v>1</v>
      </c>
      <c r="D2" s="13" t="s">
        <v>285</v>
      </c>
      <c r="E2" s="11" t="s">
        <v>286</v>
      </c>
      <c r="F2" s="13" t="s">
        <v>287</v>
      </c>
      <c r="G2" s="14" t="n">
        <v>1</v>
      </c>
      <c r="H2" s="14" t="n">
        <v>6</v>
      </c>
      <c r="I2" s="13" t="s">
        <v>288</v>
      </c>
    </row>
    <row r="3" customFormat="false" ht="15" hidden="false" customHeight="false" outlineLevel="0" collapsed="false">
      <c r="A3" s="11" t="s">
        <v>289</v>
      </c>
      <c r="B3" s="11" t="n">
        <v>1</v>
      </c>
      <c r="C3" s="11" t="n">
        <v>2</v>
      </c>
      <c r="D3" s="13" t="s">
        <v>290</v>
      </c>
      <c r="E3" s="11" t="s">
        <v>291</v>
      </c>
      <c r="F3" s="13" t="s">
        <v>287</v>
      </c>
      <c r="G3" s="14" t="n">
        <v>2</v>
      </c>
      <c r="H3" s="14" t="n">
        <v>20</v>
      </c>
      <c r="I3" s="11"/>
    </row>
    <row r="4" customFormat="false" ht="15" hidden="false" customHeight="false" outlineLevel="0" collapsed="false">
      <c r="A4" s="11" t="s">
        <v>292</v>
      </c>
      <c r="B4" s="11" t="n">
        <v>1</v>
      </c>
      <c r="C4" s="11" t="n">
        <v>3</v>
      </c>
      <c r="D4" s="13" t="s">
        <v>293</v>
      </c>
      <c r="E4" s="11" t="s">
        <v>291</v>
      </c>
      <c r="F4" s="13" t="s">
        <v>294</v>
      </c>
      <c r="G4" s="14" t="n">
        <v>3</v>
      </c>
      <c r="H4" s="14" t="n">
        <v>20</v>
      </c>
      <c r="I4" s="11"/>
    </row>
    <row r="5" customFormat="false" ht="15" hidden="false" customHeight="false" outlineLevel="0" collapsed="false">
      <c r="A5" s="11" t="s">
        <v>295</v>
      </c>
      <c r="B5" s="11" t="n">
        <v>1</v>
      </c>
      <c r="C5" s="11" t="n">
        <v>4</v>
      </c>
      <c r="D5" s="13" t="s">
        <v>296</v>
      </c>
      <c r="E5" s="11" t="s">
        <v>286</v>
      </c>
      <c r="F5" s="11"/>
      <c r="G5" s="14" t="n">
        <v>4</v>
      </c>
      <c r="H5" s="14" t="n">
        <v>6</v>
      </c>
      <c r="I5" s="13" t="s">
        <v>297</v>
      </c>
    </row>
    <row r="6" customFormat="false" ht="15" hidden="false" customHeight="false" outlineLevel="0" collapsed="false">
      <c r="A6" s="11" t="s">
        <v>298</v>
      </c>
      <c r="B6" s="11" t="n">
        <v>1</v>
      </c>
      <c r="C6" s="11" t="n">
        <v>5</v>
      </c>
      <c r="D6" s="13" t="s">
        <v>299</v>
      </c>
      <c r="E6" s="11" t="s">
        <v>291</v>
      </c>
      <c r="F6" s="13" t="s">
        <v>294</v>
      </c>
      <c r="G6" s="14" t="n">
        <v>5</v>
      </c>
      <c r="H6" s="14" t="n">
        <v>20</v>
      </c>
      <c r="I6" s="11"/>
    </row>
    <row r="7" customFormat="false" ht="15" hidden="false" customHeight="false" outlineLevel="0" collapsed="false">
      <c r="A7" s="11" t="s">
        <v>300</v>
      </c>
      <c r="B7" s="11" t="n">
        <v>1</v>
      </c>
      <c r="C7" s="11" t="n">
        <v>6</v>
      </c>
      <c r="D7" s="13" t="s">
        <v>301</v>
      </c>
      <c r="E7" s="11" t="s">
        <v>291</v>
      </c>
      <c r="F7" s="13" t="s">
        <v>294</v>
      </c>
      <c r="G7" s="14" t="n">
        <v>6</v>
      </c>
      <c r="H7" s="14" t="n">
        <v>20</v>
      </c>
      <c r="I7" s="13" t="s">
        <v>302</v>
      </c>
    </row>
    <row r="8" customFormat="false" ht="15" hidden="false" customHeight="false" outlineLevel="0" collapsed="false">
      <c r="A8" s="11" t="s">
        <v>303</v>
      </c>
      <c r="B8" s="11" t="n">
        <v>1</v>
      </c>
      <c r="C8" s="11" t="n">
        <v>7</v>
      </c>
      <c r="D8" s="13" t="s">
        <v>304</v>
      </c>
      <c r="E8" s="11" t="s">
        <v>291</v>
      </c>
      <c r="F8" s="13" t="s">
        <v>294</v>
      </c>
      <c r="G8" s="14" t="n">
        <v>7</v>
      </c>
      <c r="H8" s="14" t="n">
        <v>20</v>
      </c>
      <c r="I8" s="11"/>
    </row>
    <row r="9" customFormat="false" ht="15" hidden="false" customHeight="false" outlineLevel="0" collapsed="false">
      <c r="A9" s="11" t="s">
        <v>305</v>
      </c>
      <c r="B9" s="11" t="n">
        <v>1</v>
      </c>
      <c r="C9" s="11" t="n">
        <v>8</v>
      </c>
      <c r="D9" s="13" t="s">
        <v>306</v>
      </c>
      <c r="E9" s="11" t="s">
        <v>291</v>
      </c>
      <c r="F9" s="13" t="s">
        <v>307</v>
      </c>
      <c r="G9" s="14" t="n">
        <v>8</v>
      </c>
      <c r="H9" s="14" t="n">
        <v>20</v>
      </c>
      <c r="I9" s="13" t="s">
        <v>308</v>
      </c>
    </row>
    <row r="10" customFormat="false" ht="15" hidden="false" customHeight="false" outlineLevel="0" collapsed="false">
      <c r="A10" s="11" t="s">
        <v>309</v>
      </c>
      <c r="B10" s="11" t="n">
        <v>1</v>
      </c>
      <c r="C10" s="11" t="n">
        <v>9</v>
      </c>
      <c r="D10" s="13" t="s">
        <v>310</v>
      </c>
      <c r="E10" s="11" t="s">
        <v>291</v>
      </c>
      <c r="F10" s="13" t="s">
        <v>307</v>
      </c>
      <c r="G10" s="14" t="n">
        <v>9</v>
      </c>
      <c r="H10" s="14" t="n">
        <v>20</v>
      </c>
      <c r="I10" s="13" t="s">
        <v>308</v>
      </c>
    </row>
    <row r="11" customFormat="false" ht="15" hidden="false" customHeight="false" outlineLevel="0" collapsed="false">
      <c r="A11" s="11" t="s">
        <v>311</v>
      </c>
      <c r="B11" s="11" t="n">
        <v>1</v>
      </c>
      <c r="C11" s="11" t="n">
        <v>10</v>
      </c>
      <c r="D11" s="13" t="s">
        <v>312</v>
      </c>
      <c r="E11" s="11" t="s">
        <v>291</v>
      </c>
      <c r="F11" s="13" t="s">
        <v>294</v>
      </c>
      <c r="G11" s="14" t="n">
        <v>9</v>
      </c>
      <c r="H11" s="14" t="n">
        <v>20</v>
      </c>
      <c r="I11" s="11"/>
    </row>
    <row r="12" customFormat="false" ht="15" hidden="false" customHeight="false" outlineLevel="0" collapsed="false">
      <c r="A12" s="11" t="s">
        <v>313</v>
      </c>
      <c r="B12" s="11" t="n">
        <v>1</v>
      </c>
      <c r="C12" s="11" t="n">
        <v>11</v>
      </c>
      <c r="D12" s="13" t="s">
        <v>314</v>
      </c>
      <c r="E12" s="11" t="s">
        <v>291</v>
      </c>
      <c r="F12" s="13" t="s">
        <v>315</v>
      </c>
      <c r="G12" s="14" t="n">
        <v>10</v>
      </c>
      <c r="H12" s="14" t="n">
        <v>20</v>
      </c>
      <c r="I12" s="11"/>
    </row>
    <row r="13" customFormat="false" ht="15" hidden="false" customHeight="false" outlineLevel="0" collapsed="false">
      <c r="A13" s="11" t="s">
        <v>316</v>
      </c>
      <c r="B13" s="11" t="n">
        <v>1</v>
      </c>
      <c r="C13" s="11" t="n">
        <v>12</v>
      </c>
      <c r="D13" s="13" t="s">
        <v>317</v>
      </c>
      <c r="E13" s="11" t="s">
        <v>291</v>
      </c>
      <c r="F13" s="13" t="s">
        <v>315</v>
      </c>
      <c r="G13" s="14" t="n">
        <v>11</v>
      </c>
      <c r="H13" s="14" t="n">
        <v>20</v>
      </c>
      <c r="I13" s="13" t="s">
        <v>308</v>
      </c>
    </row>
    <row r="14" customFormat="false" ht="15" hidden="false" customHeight="false" outlineLevel="0" collapsed="false">
      <c r="A14" s="11" t="s">
        <v>318</v>
      </c>
      <c r="B14" s="11" t="n">
        <v>1</v>
      </c>
      <c r="C14" s="11" t="n">
        <v>13</v>
      </c>
      <c r="D14" s="13" t="s">
        <v>319</v>
      </c>
      <c r="E14" s="11" t="s">
        <v>291</v>
      </c>
      <c r="F14" s="13" t="s">
        <v>315</v>
      </c>
      <c r="G14" s="14" t="n">
        <v>12</v>
      </c>
      <c r="H14" s="14" t="n">
        <v>20</v>
      </c>
      <c r="I14" s="13" t="s">
        <v>308</v>
      </c>
    </row>
    <row r="15" customFormat="false" ht="15" hidden="false" customHeight="false" outlineLevel="0" collapsed="false">
      <c r="A15" s="11" t="s">
        <v>320</v>
      </c>
      <c r="B15" s="11" t="n">
        <v>1</v>
      </c>
      <c r="C15" s="11" t="n">
        <v>14</v>
      </c>
      <c r="D15" s="13" t="s">
        <v>321</v>
      </c>
      <c r="E15" s="11" t="s">
        <v>291</v>
      </c>
      <c r="F15" s="13" t="s">
        <v>294</v>
      </c>
      <c r="G15" s="14" t="n">
        <v>12</v>
      </c>
      <c r="H15" s="14" t="n">
        <v>20</v>
      </c>
      <c r="I15" s="11"/>
    </row>
    <row r="16" customFormat="false" ht="15" hidden="false" customHeight="false" outlineLevel="0" collapsed="false">
      <c r="A16" s="11" t="s">
        <v>322</v>
      </c>
      <c r="B16" s="11" t="n">
        <v>1</v>
      </c>
      <c r="C16" s="11" t="n">
        <v>15</v>
      </c>
      <c r="D16" s="13" t="s">
        <v>323</v>
      </c>
      <c r="E16" s="11" t="s">
        <v>286</v>
      </c>
      <c r="F16" s="13" t="s">
        <v>307</v>
      </c>
      <c r="G16" s="14" t="n">
        <v>13</v>
      </c>
      <c r="H16" s="14" t="n">
        <v>6</v>
      </c>
      <c r="I16" s="13" t="s">
        <v>324</v>
      </c>
    </row>
    <row r="17" customFormat="false" ht="15" hidden="false" customHeight="false" outlineLevel="0" collapsed="false">
      <c r="A17" s="11" t="s">
        <v>325</v>
      </c>
      <c r="B17" s="11" t="n">
        <v>2</v>
      </c>
      <c r="C17" s="11" t="n">
        <v>1</v>
      </c>
      <c r="D17" s="13" t="s">
        <v>326</v>
      </c>
      <c r="E17" s="11" t="s">
        <v>291</v>
      </c>
      <c r="F17" s="13" t="s">
        <v>294</v>
      </c>
      <c r="G17" s="14" t="n">
        <v>14</v>
      </c>
      <c r="H17" s="14" t="n">
        <v>20</v>
      </c>
      <c r="I17" s="11"/>
    </row>
    <row r="18" customFormat="false" ht="15" hidden="false" customHeight="false" outlineLevel="0" collapsed="false">
      <c r="A18" s="11" t="s">
        <v>327</v>
      </c>
      <c r="B18" s="11" t="n">
        <v>2</v>
      </c>
      <c r="C18" s="11" t="n">
        <v>2</v>
      </c>
      <c r="D18" s="13" t="s">
        <v>328</v>
      </c>
      <c r="E18" s="11" t="s">
        <v>286</v>
      </c>
      <c r="F18" s="11"/>
      <c r="G18" s="14" t="n">
        <v>0</v>
      </c>
      <c r="H18" s="14" t="n">
        <v>0</v>
      </c>
      <c r="I18" s="13" t="s">
        <v>329</v>
      </c>
    </row>
    <row r="19" customFormat="false" ht="15" hidden="false" customHeight="false" outlineLevel="0" collapsed="false">
      <c r="A19" s="11" t="s">
        <v>330</v>
      </c>
      <c r="B19" s="11" t="n">
        <v>2</v>
      </c>
      <c r="C19" s="11" t="n">
        <v>3</v>
      </c>
      <c r="D19" s="13" t="s">
        <v>331</v>
      </c>
      <c r="E19" s="11" t="s">
        <v>291</v>
      </c>
      <c r="F19" s="13" t="s">
        <v>332</v>
      </c>
      <c r="G19" s="14" t="n">
        <v>15</v>
      </c>
      <c r="H19" s="14" t="n">
        <v>20</v>
      </c>
      <c r="I19" s="11"/>
    </row>
    <row r="20" customFormat="false" ht="15" hidden="false" customHeight="false" outlineLevel="0" collapsed="false">
      <c r="A20" s="11" t="s">
        <v>333</v>
      </c>
      <c r="B20" s="11" t="n">
        <v>2</v>
      </c>
      <c r="C20" s="11" t="n">
        <v>4</v>
      </c>
      <c r="D20" s="13" t="s">
        <v>334</v>
      </c>
      <c r="E20" s="11" t="s">
        <v>291</v>
      </c>
      <c r="F20" s="13" t="s">
        <v>335</v>
      </c>
      <c r="G20" s="14" t="n">
        <v>16</v>
      </c>
      <c r="H20" s="14" t="n">
        <v>20</v>
      </c>
      <c r="I20" s="13" t="s">
        <v>302</v>
      </c>
    </row>
    <row r="21" customFormat="false" ht="15" hidden="false" customHeight="false" outlineLevel="0" collapsed="false">
      <c r="A21" s="11" t="s">
        <v>336</v>
      </c>
      <c r="B21" s="11" t="n">
        <v>2</v>
      </c>
      <c r="C21" s="11" t="n">
        <v>5</v>
      </c>
      <c r="D21" s="13" t="s">
        <v>337</v>
      </c>
      <c r="E21" s="11" t="s">
        <v>291</v>
      </c>
      <c r="F21" s="13" t="s">
        <v>332</v>
      </c>
      <c r="G21" s="14" t="n">
        <v>17</v>
      </c>
      <c r="H21" s="14" t="n">
        <v>20</v>
      </c>
      <c r="I21" s="11"/>
    </row>
    <row r="22" customFormat="false" ht="15" hidden="false" customHeight="false" outlineLevel="0" collapsed="false">
      <c r="A22" s="11" t="s">
        <v>338</v>
      </c>
      <c r="B22" s="11" t="n">
        <v>2</v>
      </c>
      <c r="C22" s="11" t="n">
        <v>6</v>
      </c>
      <c r="D22" s="13" t="s">
        <v>339</v>
      </c>
      <c r="E22" s="11" t="s">
        <v>291</v>
      </c>
      <c r="F22" s="13" t="s">
        <v>332</v>
      </c>
      <c r="G22" s="14" t="n">
        <v>18</v>
      </c>
      <c r="H22" s="14" t="n">
        <v>20</v>
      </c>
      <c r="I22" s="11"/>
    </row>
    <row r="23" customFormat="false" ht="15" hidden="false" customHeight="false" outlineLevel="0" collapsed="false">
      <c r="A23" s="11" t="s">
        <v>340</v>
      </c>
      <c r="B23" s="11" t="n">
        <v>2</v>
      </c>
      <c r="C23" s="11" t="n">
        <v>7</v>
      </c>
      <c r="D23" s="13" t="s">
        <v>341</v>
      </c>
      <c r="E23" s="11" t="s">
        <v>291</v>
      </c>
      <c r="F23" s="13" t="s">
        <v>342</v>
      </c>
      <c r="G23" s="14" t="n">
        <v>19</v>
      </c>
      <c r="H23" s="14" t="n">
        <v>20</v>
      </c>
      <c r="I23" s="13" t="s">
        <v>308</v>
      </c>
    </row>
    <row r="24" customFormat="false" ht="15" hidden="false" customHeight="false" outlineLevel="0" collapsed="false">
      <c r="A24" s="11" t="s">
        <v>343</v>
      </c>
      <c r="B24" s="11" t="n">
        <v>2</v>
      </c>
      <c r="C24" s="11" t="n">
        <v>8</v>
      </c>
      <c r="D24" s="13" t="s">
        <v>344</v>
      </c>
      <c r="E24" s="11" t="s">
        <v>291</v>
      </c>
      <c r="F24" s="13" t="s">
        <v>342</v>
      </c>
      <c r="G24" s="14" t="n">
        <v>20</v>
      </c>
      <c r="H24" s="14" t="n">
        <v>20</v>
      </c>
      <c r="I24" s="13" t="s">
        <v>308</v>
      </c>
    </row>
    <row r="25" customFormat="false" ht="15" hidden="false" customHeight="false" outlineLevel="0" collapsed="false">
      <c r="A25" s="11" t="s">
        <v>345</v>
      </c>
      <c r="B25" s="11" t="n">
        <v>2</v>
      </c>
      <c r="C25" s="11" t="n">
        <v>9</v>
      </c>
      <c r="D25" s="13" t="s">
        <v>346</v>
      </c>
      <c r="E25" s="11" t="s">
        <v>291</v>
      </c>
      <c r="F25" s="13" t="s">
        <v>332</v>
      </c>
      <c r="G25" s="14" t="n">
        <v>19</v>
      </c>
      <c r="H25" s="14" t="n">
        <v>20</v>
      </c>
      <c r="I25" s="13" t="s">
        <v>302</v>
      </c>
    </row>
    <row r="26" customFormat="false" ht="15" hidden="false" customHeight="false" outlineLevel="0" collapsed="false">
      <c r="A26" s="11" t="s">
        <v>347</v>
      </c>
      <c r="B26" s="11" t="n">
        <v>2</v>
      </c>
      <c r="C26" s="11" t="n">
        <v>10</v>
      </c>
      <c r="D26" s="13" t="s">
        <v>348</v>
      </c>
      <c r="E26" s="11" t="s">
        <v>291</v>
      </c>
      <c r="F26" s="13" t="s">
        <v>335</v>
      </c>
      <c r="G26" s="14" t="n">
        <v>20</v>
      </c>
      <c r="H26" s="14" t="n">
        <v>20</v>
      </c>
      <c r="I26" s="11"/>
    </row>
    <row r="27" customFormat="false" ht="15" hidden="false" customHeight="false" outlineLevel="0" collapsed="false">
      <c r="A27" s="11" t="s">
        <v>349</v>
      </c>
      <c r="B27" s="11" t="n">
        <v>2</v>
      </c>
      <c r="C27" s="11" t="n">
        <v>11</v>
      </c>
      <c r="D27" s="13" t="s">
        <v>350</v>
      </c>
      <c r="E27" s="11" t="s">
        <v>291</v>
      </c>
      <c r="F27" s="13" t="s">
        <v>342</v>
      </c>
      <c r="G27" s="14" t="n">
        <v>21</v>
      </c>
      <c r="H27" s="14" t="n">
        <v>20</v>
      </c>
      <c r="I27" s="13" t="s">
        <v>308</v>
      </c>
    </row>
    <row r="28" customFormat="false" ht="15" hidden="false" customHeight="false" outlineLevel="0" collapsed="false">
      <c r="A28" s="11" t="s">
        <v>351</v>
      </c>
      <c r="B28" s="11" t="n">
        <v>2</v>
      </c>
      <c r="C28" s="11" t="n">
        <v>12</v>
      </c>
      <c r="D28" s="13" t="s">
        <v>352</v>
      </c>
      <c r="E28" s="11" t="s">
        <v>291</v>
      </c>
      <c r="F28" s="13" t="s">
        <v>342</v>
      </c>
      <c r="G28" s="14" t="n">
        <v>22</v>
      </c>
      <c r="H28" s="14" t="n">
        <v>20</v>
      </c>
      <c r="I28" s="13" t="s">
        <v>308</v>
      </c>
    </row>
    <row r="29" customFormat="false" ht="15" hidden="false" customHeight="false" outlineLevel="0" collapsed="false">
      <c r="A29" s="11" t="s">
        <v>353</v>
      </c>
      <c r="B29" s="11" t="n">
        <v>2</v>
      </c>
      <c r="C29" s="11" t="n">
        <v>13</v>
      </c>
      <c r="D29" s="13" t="s">
        <v>354</v>
      </c>
      <c r="E29" s="11" t="s">
        <v>291</v>
      </c>
      <c r="F29" s="13" t="s">
        <v>355</v>
      </c>
      <c r="G29" s="14" t="n">
        <v>22</v>
      </c>
      <c r="H29" s="14" t="n">
        <v>20</v>
      </c>
      <c r="I29" s="11"/>
    </row>
    <row r="30" customFormat="false" ht="15" hidden="false" customHeight="false" outlineLevel="0" collapsed="false">
      <c r="A30" s="11" t="s">
        <v>356</v>
      </c>
      <c r="B30" s="11" t="n">
        <v>2</v>
      </c>
      <c r="C30" s="11" t="n">
        <v>14</v>
      </c>
      <c r="D30" s="13" t="s">
        <v>357</v>
      </c>
      <c r="E30" s="11" t="s">
        <v>291</v>
      </c>
      <c r="F30" s="13" t="s">
        <v>355</v>
      </c>
      <c r="G30" s="14" t="n">
        <v>23</v>
      </c>
      <c r="H30" s="14" t="n">
        <v>20</v>
      </c>
      <c r="I30" s="11"/>
    </row>
    <row r="31" customFormat="false" ht="15" hidden="false" customHeight="false" outlineLevel="0" collapsed="false">
      <c r="A31" s="11" t="s">
        <v>358</v>
      </c>
      <c r="B31" s="11" t="n">
        <v>2</v>
      </c>
      <c r="C31" s="11" t="n">
        <v>15</v>
      </c>
      <c r="D31" s="13" t="s">
        <v>359</v>
      </c>
      <c r="E31" s="11" t="s">
        <v>291</v>
      </c>
      <c r="F31" s="13" t="s">
        <v>355</v>
      </c>
      <c r="G31" s="14" t="n">
        <v>24</v>
      </c>
      <c r="H31" s="14" t="n">
        <v>20</v>
      </c>
      <c r="I31" s="11"/>
    </row>
    <row r="32" customFormat="false" ht="15" hidden="false" customHeight="false" outlineLevel="0" collapsed="false">
      <c r="A32" s="11" t="s">
        <v>360</v>
      </c>
      <c r="B32" s="11" t="n">
        <v>2</v>
      </c>
      <c r="C32" s="11" t="n">
        <v>16</v>
      </c>
      <c r="D32" s="13" t="s">
        <v>361</v>
      </c>
      <c r="E32" s="11" t="s">
        <v>286</v>
      </c>
      <c r="F32" s="13" t="s">
        <v>355</v>
      </c>
      <c r="G32" s="14" t="n">
        <v>24</v>
      </c>
      <c r="H32" s="14" t="n">
        <v>6</v>
      </c>
      <c r="I32" s="13" t="s">
        <v>362</v>
      </c>
    </row>
    <row r="33" customFormat="false" ht="15" hidden="false" customHeight="false" outlineLevel="0" collapsed="false">
      <c r="A33" s="11" t="s">
        <v>363</v>
      </c>
      <c r="B33" s="11" t="n">
        <v>3</v>
      </c>
      <c r="C33" s="11" t="n">
        <v>1</v>
      </c>
      <c r="D33" s="13" t="s">
        <v>364</v>
      </c>
      <c r="E33" s="11" t="s">
        <v>291</v>
      </c>
      <c r="F33" s="13" t="s">
        <v>294</v>
      </c>
      <c r="G33" s="14" t="n">
        <v>25</v>
      </c>
      <c r="H33" s="14" t="n">
        <v>20</v>
      </c>
      <c r="I33" s="11"/>
    </row>
    <row r="34" customFormat="false" ht="15" hidden="false" customHeight="false" outlineLevel="0" collapsed="false">
      <c r="A34" s="11" t="s">
        <v>365</v>
      </c>
      <c r="B34" s="11" t="n">
        <v>3</v>
      </c>
      <c r="C34" s="11" t="n">
        <v>2</v>
      </c>
      <c r="D34" s="13" t="s">
        <v>366</v>
      </c>
      <c r="E34" s="11" t="s">
        <v>286</v>
      </c>
      <c r="F34" s="11"/>
      <c r="G34" s="14" t="n">
        <v>0</v>
      </c>
      <c r="H34" s="14" t="n">
        <v>0</v>
      </c>
      <c r="I34" s="13" t="s">
        <v>329</v>
      </c>
    </row>
    <row r="35" customFormat="false" ht="15" hidden="false" customHeight="false" outlineLevel="0" collapsed="false">
      <c r="A35" s="11" t="s">
        <v>367</v>
      </c>
      <c r="B35" s="11" t="n">
        <v>3</v>
      </c>
      <c r="C35" s="11" t="n">
        <v>3</v>
      </c>
      <c r="D35" s="13" t="s">
        <v>368</v>
      </c>
      <c r="E35" s="11" t="s">
        <v>291</v>
      </c>
      <c r="F35" s="13" t="s">
        <v>287</v>
      </c>
      <c r="G35" s="14" t="n">
        <v>26</v>
      </c>
      <c r="H35" s="14" t="n">
        <v>20</v>
      </c>
      <c r="I35" s="11"/>
    </row>
    <row r="36" customFormat="false" ht="15" hidden="false" customHeight="false" outlineLevel="0" collapsed="false">
      <c r="A36" s="11" t="s">
        <v>369</v>
      </c>
      <c r="B36" s="11" t="n">
        <v>3</v>
      </c>
      <c r="C36" s="11" t="n">
        <v>4</v>
      </c>
      <c r="D36" s="13" t="s">
        <v>370</v>
      </c>
      <c r="E36" s="11" t="s">
        <v>291</v>
      </c>
      <c r="F36" s="13" t="s">
        <v>371</v>
      </c>
      <c r="G36" s="14" t="n">
        <v>27</v>
      </c>
      <c r="H36" s="14" t="n">
        <v>20</v>
      </c>
      <c r="I36" s="13" t="s">
        <v>302</v>
      </c>
    </row>
    <row r="37" customFormat="false" ht="15" hidden="false" customHeight="false" outlineLevel="0" collapsed="false">
      <c r="A37" s="11" t="s">
        <v>372</v>
      </c>
      <c r="B37" s="11" t="n">
        <v>3</v>
      </c>
      <c r="C37" s="11" t="n">
        <v>5</v>
      </c>
      <c r="D37" s="13" t="s">
        <v>373</v>
      </c>
      <c r="E37" s="11" t="s">
        <v>291</v>
      </c>
      <c r="F37" s="13" t="s">
        <v>371</v>
      </c>
      <c r="G37" s="14" t="n">
        <v>28</v>
      </c>
      <c r="H37" s="14" t="n">
        <v>20</v>
      </c>
      <c r="I37" s="13" t="s">
        <v>308</v>
      </c>
    </row>
    <row r="38" customFormat="false" ht="15" hidden="false" customHeight="false" outlineLevel="0" collapsed="false">
      <c r="A38" s="11" t="s">
        <v>374</v>
      </c>
      <c r="B38" s="11" t="n">
        <v>3</v>
      </c>
      <c r="C38" s="11" t="n">
        <v>6</v>
      </c>
      <c r="D38" s="13" t="s">
        <v>375</v>
      </c>
      <c r="E38" s="11" t="s">
        <v>291</v>
      </c>
      <c r="F38" s="13" t="s">
        <v>371</v>
      </c>
      <c r="G38" s="14" t="n">
        <v>29</v>
      </c>
      <c r="H38" s="14" t="n">
        <v>20</v>
      </c>
      <c r="I38" s="13" t="s">
        <v>308</v>
      </c>
    </row>
    <row r="39" customFormat="false" ht="15" hidden="false" customHeight="false" outlineLevel="0" collapsed="false">
      <c r="A39" s="11" t="s">
        <v>376</v>
      </c>
      <c r="B39" s="11" t="n">
        <v>3</v>
      </c>
      <c r="C39" s="11" t="n">
        <v>7</v>
      </c>
      <c r="D39" s="13" t="s">
        <v>377</v>
      </c>
      <c r="E39" s="11" t="s">
        <v>291</v>
      </c>
      <c r="F39" s="13" t="s">
        <v>371</v>
      </c>
      <c r="G39" s="14" t="n">
        <v>28</v>
      </c>
      <c r="H39" s="14" t="n">
        <v>20</v>
      </c>
      <c r="I39" s="11"/>
    </row>
    <row r="40" customFormat="false" ht="15" hidden="false" customHeight="false" outlineLevel="0" collapsed="false">
      <c r="A40" s="11" t="s">
        <v>378</v>
      </c>
      <c r="B40" s="11" t="n">
        <v>3</v>
      </c>
      <c r="C40" s="11" t="n">
        <v>8</v>
      </c>
      <c r="D40" s="13" t="s">
        <v>379</v>
      </c>
      <c r="E40" s="11" t="s">
        <v>291</v>
      </c>
      <c r="F40" s="13" t="s">
        <v>371</v>
      </c>
      <c r="G40" s="14" t="n">
        <v>29</v>
      </c>
      <c r="H40" s="14" t="n">
        <v>20</v>
      </c>
      <c r="I40" s="11"/>
    </row>
    <row r="41" customFormat="false" ht="15" hidden="false" customHeight="false" outlineLevel="0" collapsed="false">
      <c r="A41" s="11" t="s">
        <v>380</v>
      </c>
      <c r="B41" s="11" t="n">
        <v>3</v>
      </c>
      <c r="C41" s="11" t="n">
        <v>9</v>
      </c>
      <c r="D41" s="13" t="s">
        <v>381</v>
      </c>
      <c r="E41" s="11" t="s">
        <v>291</v>
      </c>
      <c r="F41" s="13" t="s">
        <v>371</v>
      </c>
      <c r="G41" s="14" t="n">
        <v>30</v>
      </c>
      <c r="H41" s="14" t="n">
        <v>20</v>
      </c>
      <c r="I41" s="13" t="s">
        <v>382</v>
      </c>
    </row>
    <row r="42" customFormat="false" ht="15" hidden="false" customHeight="false" outlineLevel="0" collapsed="false">
      <c r="A42" s="11" t="s">
        <v>383</v>
      </c>
      <c r="B42" s="11" t="n">
        <v>3</v>
      </c>
      <c r="C42" s="11" t="n">
        <v>10</v>
      </c>
      <c r="D42" s="13" t="s">
        <v>384</v>
      </c>
      <c r="E42" s="11" t="s">
        <v>286</v>
      </c>
      <c r="F42" s="13" t="s">
        <v>371</v>
      </c>
      <c r="G42" s="14" t="n">
        <v>30</v>
      </c>
      <c r="H42" s="14" t="n">
        <v>6</v>
      </c>
      <c r="I42" s="13" t="s">
        <v>385</v>
      </c>
    </row>
    <row r="43" customFormat="false" ht="15" hidden="false" customHeight="false" outlineLevel="0" collapsed="false">
      <c r="A43" s="11" t="s">
        <v>386</v>
      </c>
      <c r="B43" s="11" t="n">
        <v>3</v>
      </c>
      <c r="C43" s="11" t="n">
        <v>11</v>
      </c>
      <c r="D43" s="13" t="s">
        <v>387</v>
      </c>
      <c r="E43" s="11" t="s">
        <v>291</v>
      </c>
      <c r="F43" s="13" t="s">
        <v>388</v>
      </c>
      <c r="G43" s="14" t="n">
        <v>31</v>
      </c>
      <c r="H43" s="14" t="n">
        <v>20</v>
      </c>
      <c r="I43" s="11"/>
    </row>
    <row r="44" customFormat="false" ht="15" hidden="false" customHeight="false" outlineLevel="0" collapsed="false">
      <c r="A44" s="11" t="s">
        <v>389</v>
      </c>
      <c r="B44" s="11" t="n">
        <v>3</v>
      </c>
      <c r="C44" s="11" t="n">
        <v>12</v>
      </c>
      <c r="D44" s="13" t="s">
        <v>390</v>
      </c>
      <c r="E44" s="11" t="s">
        <v>291</v>
      </c>
      <c r="F44" s="13" t="s">
        <v>391</v>
      </c>
      <c r="G44" s="14" t="n">
        <v>32</v>
      </c>
      <c r="H44" s="14" t="n">
        <v>20</v>
      </c>
      <c r="I44" s="13" t="s">
        <v>302</v>
      </c>
    </row>
    <row r="45" customFormat="false" ht="15" hidden="false" customHeight="false" outlineLevel="0" collapsed="false">
      <c r="A45" s="11" t="s">
        <v>392</v>
      </c>
      <c r="B45" s="11" t="n">
        <v>3</v>
      </c>
      <c r="C45" s="11" t="n">
        <v>13</v>
      </c>
      <c r="D45" s="13" t="s">
        <v>393</v>
      </c>
      <c r="E45" s="11" t="s">
        <v>291</v>
      </c>
      <c r="F45" s="13" t="s">
        <v>388</v>
      </c>
      <c r="G45" s="14" t="n">
        <v>33</v>
      </c>
      <c r="H45" s="14" t="n">
        <v>20</v>
      </c>
      <c r="I45" s="11"/>
    </row>
    <row r="46" customFormat="false" ht="15" hidden="false" customHeight="false" outlineLevel="0" collapsed="false">
      <c r="A46" s="11" t="s">
        <v>394</v>
      </c>
      <c r="B46" s="11" t="n">
        <v>3</v>
      </c>
      <c r="C46" s="11" t="n">
        <v>14</v>
      </c>
      <c r="D46" s="13" t="s">
        <v>395</v>
      </c>
      <c r="E46" s="11" t="s">
        <v>291</v>
      </c>
      <c r="F46" s="13" t="s">
        <v>388</v>
      </c>
      <c r="G46" s="14" t="n">
        <v>34</v>
      </c>
      <c r="H46" s="14" t="n">
        <v>20</v>
      </c>
      <c r="I46" s="13" t="s">
        <v>308</v>
      </c>
    </row>
    <row r="47" customFormat="false" ht="15" hidden="false" customHeight="false" outlineLevel="0" collapsed="false">
      <c r="A47" s="11" t="s">
        <v>396</v>
      </c>
      <c r="B47" s="11" t="n">
        <v>3</v>
      </c>
      <c r="C47" s="11" t="n">
        <v>15</v>
      </c>
      <c r="D47" s="13" t="s">
        <v>397</v>
      </c>
      <c r="E47" s="11" t="s">
        <v>291</v>
      </c>
      <c r="F47" s="13" t="s">
        <v>388</v>
      </c>
      <c r="G47" s="14" t="n">
        <v>35</v>
      </c>
      <c r="H47" s="14" t="n">
        <v>20</v>
      </c>
      <c r="I47" s="13" t="s">
        <v>308</v>
      </c>
    </row>
    <row r="48" customFormat="false" ht="15" hidden="false" customHeight="false" outlineLevel="0" collapsed="false">
      <c r="A48" s="11" t="s">
        <v>398</v>
      </c>
      <c r="B48" s="11" t="n">
        <v>3</v>
      </c>
      <c r="C48" s="11" t="n">
        <v>16</v>
      </c>
      <c r="D48" s="13" t="s">
        <v>399</v>
      </c>
      <c r="E48" s="11" t="s">
        <v>291</v>
      </c>
      <c r="F48" s="13" t="s">
        <v>388</v>
      </c>
      <c r="G48" s="14" t="n">
        <v>35</v>
      </c>
      <c r="H48" s="14" t="n">
        <v>20</v>
      </c>
      <c r="I48" s="11"/>
    </row>
    <row r="49" customFormat="false" ht="15" hidden="false" customHeight="false" outlineLevel="0" collapsed="false">
      <c r="A49" s="11" t="s">
        <v>400</v>
      </c>
      <c r="B49" s="11" t="n">
        <v>3</v>
      </c>
      <c r="C49" s="11" t="n">
        <v>17</v>
      </c>
      <c r="D49" s="13" t="s">
        <v>401</v>
      </c>
      <c r="E49" s="11" t="s">
        <v>286</v>
      </c>
      <c r="F49" s="13" t="s">
        <v>388</v>
      </c>
      <c r="G49" s="14" t="n">
        <v>36</v>
      </c>
      <c r="H49" s="14" t="n">
        <v>6</v>
      </c>
      <c r="I49" s="13" t="s">
        <v>402</v>
      </c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A51" s="23" t="s">
        <v>403</v>
      </c>
      <c r="B51" s="2"/>
      <c r="C51" s="2"/>
      <c r="D51" s="2"/>
      <c r="E51" s="2"/>
      <c r="F51" s="2"/>
      <c r="G51" s="2"/>
      <c r="H51" s="2"/>
      <c r="I51" s="2"/>
    </row>
    <row r="52" customFormat="false" ht="15" hidden="false" customHeight="false" outlineLevel="0" collapsed="false">
      <c r="A52" s="24" t="s">
        <v>404</v>
      </c>
      <c r="B52" s="24" t="s">
        <v>282</v>
      </c>
      <c r="C52" s="24" t="s">
        <v>405</v>
      </c>
      <c r="D52" s="2"/>
      <c r="E52" s="2"/>
      <c r="F52" s="2"/>
      <c r="G52" s="2"/>
      <c r="H52" s="2"/>
      <c r="I52" s="2"/>
    </row>
    <row r="53" customFormat="false" ht="15" hidden="false" customHeight="false" outlineLevel="0" collapsed="false">
      <c r="A53" s="11" t="n">
        <v>1</v>
      </c>
      <c r="B53" s="18" t="n">
        <f aca="false">상수!$B$36+상수!$B$37*A53</f>
        <v>14</v>
      </c>
      <c r="C53" s="18" t="n">
        <f aca="false">B53+상수!$B$29</f>
        <v>17</v>
      </c>
      <c r="D53" s="2"/>
      <c r="E53" s="2"/>
      <c r="F53" s="2"/>
      <c r="G53" s="2"/>
      <c r="H53" s="2"/>
      <c r="I53" s="2"/>
    </row>
    <row r="54" customFormat="false" ht="15" hidden="false" customHeight="false" outlineLevel="0" collapsed="false">
      <c r="A54" s="11" t="n">
        <v>2</v>
      </c>
      <c r="B54" s="18" t="n">
        <f aca="false">상수!$B$36+상수!$B$37*A54</f>
        <v>16</v>
      </c>
      <c r="C54" s="18" t="n">
        <f aca="false">B54+상수!$B$29</f>
        <v>19</v>
      </c>
      <c r="D54" s="2"/>
      <c r="E54" s="2"/>
      <c r="F54" s="2"/>
      <c r="G54" s="2"/>
      <c r="H54" s="2"/>
      <c r="I54" s="2"/>
    </row>
    <row r="55" customFormat="false" ht="15" hidden="false" customHeight="false" outlineLevel="0" collapsed="false">
      <c r="A55" s="11" t="n">
        <v>3</v>
      </c>
      <c r="B55" s="18" t="n">
        <f aca="false">상수!$B$36+상수!$B$37*A55</f>
        <v>18</v>
      </c>
      <c r="C55" s="18" t="n">
        <f aca="false">B55+상수!$B$29</f>
        <v>21</v>
      </c>
      <c r="D55" s="2"/>
      <c r="E55" s="2"/>
      <c r="F55" s="2"/>
      <c r="G55" s="2"/>
      <c r="H55" s="2"/>
      <c r="I55" s="2"/>
    </row>
    <row r="56" customFormat="false" ht="15" hidden="false" customHeight="false" outlineLevel="0" collapsed="false">
      <c r="A56" s="11" t="n">
        <v>4</v>
      </c>
      <c r="B56" s="18" t="n">
        <f aca="false">상수!$B$36+상수!$B$37*A56</f>
        <v>20</v>
      </c>
      <c r="C56" s="18" t="n">
        <f aca="false">B56+상수!$B$29</f>
        <v>23</v>
      </c>
      <c r="D56" s="2"/>
      <c r="E56" s="2"/>
      <c r="F56" s="2"/>
      <c r="G56" s="2"/>
      <c r="H56" s="2"/>
      <c r="I56" s="2"/>
    </row>
    <row r="57" customFormat="false" ht="15" hidden="false" customHeight="false" outlineLevel="0" collapsed="false">
      <c r="A57" s="11" t="n">
        <v>5</v>
      </c>
      <c r="B57" s="18" t="n">
        <f aca="false">상수!$B$36+상수!$B$37*A57</f>
        <v>22</v>
      </c>
      <c r="C57" s="18" t="n">
        <f aca="false">B57+상수!$B$29</f>
        <v>25</v>
      </c>
      <c r="D57" s="2"/>
      <c r="E57" s="2"/>
      <c r="F57" s="2"/>
      <c r="G57" s="2"/>
      <c r="H57" s="2"/>
      <c r="I57" s="2"/>
    </row>
    <row r="58" customFormat="false" ht="15" hidden="false" customHeight="false" outlineLevel="0" collapsed="false">
      <c r="A58" s="11" t="n">
        <v>6</v>
      </c>
      <c r="B58" s="18" t="n">
        <f aca="false">상수!$B$36+상수!$B$37*A58</f>
        <v>24</v>
      </c>
      <c r="C58" s="18" t="n">
        <f aca="false">B58+상수!$B$29</f>
        <v>27</v>
      </c>
      <c r="D58" s="2"/>
      <c r="E58" s="2"/>
      <c r="F58" s="2"/>
      <c r="G58" s="2"/>
      <c r="H58" s="2"/>
      <c r="I58" s="2"/>
    </row>
    <row r="59" customFormat="false" ht="15" hidden="false" customHeight="false" outlineLevel="0" collapsed="false">
      <c r="A59" s="11" t="n">
        <v>7</v>
      </c>
      <c r="B59" s="18" t="n">
        <f aca="false">상수!$B$36+상수!$B$37*A59</f>
        <v>26</v>
      </c>
      <c r="C59" s="18" t="n">
        <f aca="false">B59+상수!$B$29</f>
        <v>29</v>
      </c>
      <c r="D59" s="2"/>
      <c r="E59" s="2"/>
      <c r="F59" s="2"/>
      <c r="G59" s="2"/>
      <c r="H59" s="2"/>
      <c r="I59" s="2"/>
    </row>
    <row r="60" customFormat="false" ht="15" hidden="false" customHeight="false" outlineLevel="0" collapsed="false">
      <c r="A60" s="11" t="n">
        <v>8</v>
      </c>
      <c r="B60" s="18" t="n">
        <f aca="false">상수!$B$36+상수!$B$37*A60</f>
        <v>28</v>
      </c>
      <c r="C60" s="18" t="n">
        <f aca="false">B60+상수!$B$29</f>
        <v>31</v>
      </c>
      <c r="D60" s="2"/>
      <c r="E60" s="2"/>
      <c r="F60" s="2"/>
      <c r="G60" s="2"/>
      <c r="H60" s="2"/>
      <c r="I60" s="2"/>
    </row>
    <row r="61" customFormat="false" ht="15" hidden="false" customHeight="false" outlineLevel="0" collapsed="false">
      <c r="A61" s="11" t="n">
        <v>9</v>
      </c>
      <c r="B61" s="18" t="n">
        <f aca="false">상수!$B$36+상수!$B$37*A61</f>
        <v>30</v>
      </c>
      <c r="C61" s="18" t="n">
        <f aca="false">B61+상수!$B$29</f>
        <v>33</v>
      </c>
      <c r="D61" s="2"/>
      <c r="E61" s="2"/>
      <c r="F61" s="2"/>
      <c r="G61" s="2"/>
      <c r="H61" s="2"/>
      <c r="I61" s="2"/>
    </row>
    <row r="62" customFormat="false" ht="15" hidden="false" customHeight="false" outlineLevel="0" collapsed="false">
      <c r="A62" s="11" t="n">
        <v>10</v>
      </c>
      <c r="B62" s="18" t="n">
        <f aca="false">상수!$B$36+상수!$B$37*A62</f>
        <v>32</v>
      </c>
      <c r="C62" s="18" t="n">
        <f aca="false">B62+상수!$B$29</f>
        <v>35</v>
      </c>
      <c r="D62" s="2"/>
      <c r="E62" s="2"/>
      <c r="F62" s="2"/>
      <c r="G62" s="2"/>
      <c r="H62" s="2"/>
      <c r="I62" s="2"/>
    </row>
    <row r="63" customFormat="false" ht="15" hidden="false" customHeight="false" outlineLevel="0" collapsed="false">
      <c r="A63" s="11" t="n">
        <v>11</v>
      </c>
      <c r="B63" s="18" t="n">
        <f aca="false">상수!$B$36+상수!$B$37*A63</f>
        <v>34</v>
      </c>
      <c r="C63" s="18" t="n">
        <f aca="false">B63+상수!$B$29</f>
        <v>37</v>
      </c>
      <c r="D63" s="2"/>
      <c r="E63" s="2"/>
      <c r="F63" s="2"/>
      <c r="G63" s="2"/>
      <c r="H63" s="2"/>
      <c r="I63" s="2"/>
    </row>
    <row r="64" customFormat="false" ht="15" hidden="false" customHeight="false" outlineLevel="0" collapsed="false">
      <c r="A64" s="11" t="n">
        <v>12</v>
      </c>
      <c r="B64" s="18" t="n">
        <f aca="false">상수!$B$36+상수!$B$37*A64</f>
        <v>36</v>
      </c>
      <c r="C64" s="18" t="n">
        <f aca="false">B64+상수!$B$29</f>
        <v>39</v>
      </c>
      <c r="D64" s="2"/>
      <c r="E64" s="2"/>
      <c r="F64" s="2"/>
      <c r="G64" s="2"/>
      <c r="H64" s="2"/>
      <c r="I64" s="2"/>
    </row>
    <row r="65" customFormat="false" ht="15" hidden="false" customHeight="false" outlineLevel="0" collapsed="false">
      <c r="A65" s="11" t="n">
        <v>13</v>
      </c>
      <c r="B65" s="18" t="n">
        <f aca="false">상수!$B$36+상수!$B$37*A65</f>
        <v>38</v>
      </c>
      <c r="C65" s="18" t="n">
        <f aca="false">B65+상수!$B$29</f>
        <v>41</v>
      </c>
      <c r="D65" s="2"/>
      <c r="E65" s="2"/>
      <c r="F65" s="2"/>
      <c r="G65" s="2"/>
      <c r="H65" s="2"/>
      <c r="I65" s="2"/>
    </row>
    <row r="66" customFormat="false" ht="15" hidden="false" customHeight="false" outlineLevel="0" collapsed="false">
      <c r="A66" s="11" t="n">
        <v>14</v>
      </c>
      <c r="B66" s="18" t="n">
        <f aca="false">상수!$B$36+상수!$B$37*A66</f>
        <v>40</v>
      </c>
      <c r="C66" s="18" t="n">
        <f aca="false">B66+상수!$B$29</f>
        <v>43</v>
      </c>
      <c r="D66" s="2"/>
      <c r="E66" s="2"/>
      <c r="F66" s="2"/>
      <c r="G66" s="2"/>
      <c r="H66" s="2"/>
      <c r="I66" s="2"/>
    </row>
    <row r="67" customFormat="false" ht="15" hidden="false" customHeight="false" outlineLevel="0" collapsed="false">
      <c r="A67" s="11" t="n">
        <v>15</v>
      </c>
      <c r="B67" s="18" t="n">
        <f aca="false">상수!$B$36+상수!$B$37*A67</f>
        <v>42</v>
      </c>
      <c r="C67" s="18" t="n">
        <f aca="false">B67+상수!$B$29</f>
        <v>45</v>
      </c>
      <c r="D67" s="2"/>
      <c r="E67" s="2"/>
      <c r="F67" s="2"/>
      <c r="G67" s="2"/>
      <c r="H67" s="2"/>
      <c r="I67" s="2"/>
    </row>
    <row r="68" customFormat="false" ht="15" hidden="false" customHeight="false" outlineLevel="0" collapsed="false">
      <c r="A68" s="11" t="n">
        <v>16</v>
      </c>
      <c r="B68" s="18" t="n">
        <f aca="false">상수!$B$36+상수!$B$37*A68</f>
        <v>44</v>
      </c>
      <c r="C68" s="18" t="n">
        <f aca="false">B68+상수!$B$29</f>
        <v>47</v>
      </c>
      <c r="D68" s="2"/>
      <c r="E68" s="2"/>
      <c r="F68" s="2"/>
      <c r="G68" s="2"/>
      <c r="H68" s="2"/>
      <c r="I68" s="2"/>
    </row>
    <row r="69" customFormat="false" ht="15" hidden="false" customHeight="false" outlineLevel="0" collapsed="false">
      <c r="A69" s="11" t="n">
        <v>17</v>
      </c>
      <c r="B69" s="18" t="n">
        <f aca="false">상수!$B$36+상수!$B$37*A69</f>
        <v>46</v>
      </c>
      <c r="C69" s="18" t="n">
        <f aca="false">B69+상수!$B$29</f>
        <v>49</v>
      </c>
      <c r="D69" s="2"/>
      <c r="E69" s="2"/>
      <c r="F69" s="2"/>
      <c r="G69" s="2"/>
      <c r="H69" s="2"/>
      <c r="I69" s="2"/>
    </row>
    <row r="70" customFormat="false" ht="15" hidden="false" customHeight="false" outlineLevel="0" collapsed="false">
      <c r="A70" s="11" t="n">
        <v>18</v>
      </c>
      <c r="B70" s="18" t="n">
        <f aca="false">상수!$B$36+상수!$B$37*A70</f>
        <v>48</v>
      </c>
      <c r="C70" s="18" t="n">
        <f aca="false">B70+상수!$B$29</f>
        <v>51</v>
      </c>
      <c r="D70" s="2"/>
      <c r="E70" s="2"/>
      <c r="F70" s="2"/>
      <c r="G70" s="2"/>
      <c r="H70" s="2"/>
      <c r="I70" s="2"/>
    </row>
    <row r="71" customFormat="false" ht="15" hidden="false" customHeight="false" outlineLevel="0" collapsed="false">
      <c r="A71" s="11" t="n">
        <v>19</v>
      </c>
      <c r="B71" s="18" t="n">
        <f aca="false">상수!$B$36+상수!$B$37*A71</f>
        <v>50</v>
      </c>
      <c r="C71" s="18" t="n">
        <f aca="false">B71+상수!$B$29</f>
        <v>53</v>
      </c>
      <c r="D71" s="2"/>
      <c r="E71" s="2"/>
      <c r="F71" s="2"/>
      <c r="G71" s="2"/>
      <c r="H71" s="2"/>
      <c r="I71" s="2"/>
    </row>
    <row r="72" customFormat="false" ht="15" hidden="false" customHeight="false" outlineLevel="0" collapsed="false">
      <c r="A72" s="11" t="n">
        <v>20</v>
      </c>
      <c r="B72" s="18" t="n">
        <f aca="false">상수!$B$36+상수!$B$37*A72</f>
        <v>52</v>
      </c>
      <c r="C72" s="18" t="n">
        <f aca="false">B72+상수!$B$29</f>
        <v>55</v>
      </c>
      <c r="D72" s="2"/>
      <c r="E72" s="2"/>
      <c r="F72" s="2"/>
      <c r="G72" s="2"/>
      <c r="H72" s="2"/>
      <c r="I7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17" min="4" style="0" width="12"/>
  </cols>
  <sheetData>
    <row r="1" customFormat="false" ht="19.4" hidden="false" customHeight="false" outlineLevel="0" collapsed="false">
      <c r="A1" s="1" t="s">
        <v>406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3" t="s">
        <v>407</v>
      </c>
      <c r="B3" s="20" t="s">
        <v>139</v>
      </c>
      <c r="C3" s="25" t="s">
        <v>408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3" t="s">
        <v>409</v>
      </c>
      <c r="B4" s="21" t="n">
        <v>6</v>
      </c>
      <c r="C4" s="25" t="s">
        <v>410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5" hidden="false" customHeight="false" outlineLevel="0" collapsed="false">
      <c r="A5" s="3" t="s">
        <v>411</v>
      </c>
      <c r="B5" s="26" t="n">
        <v>1.115</v>
      </c>
      <c r="C5" s="25" t="s">
        <v>412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5" hidden="false" customHeight="false" outlineLevel="0" collapsed="false">
      <c r="A6" s="3" t="s">
        <v>413</v>
      </c>
      <c r="B6" s="15" t="n">
        <v>1.2</v>
      </c>
      <c r="C6" s="25" t="s">
        <v>414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5" hidden="false" customHeight="false" outlineLevel="0" collapsed="false">
      <c r="A7" s="3" t="s">
        <v>415</v>
      </c>
      <c r="B7" s="21" t="n">
        <v>1</v>
      </c>
      <c r="C7" s="25" t="s">
        <v>416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customFormat="false" ht="15" hidden="false" customHeight="false" outlineLevel="0" collapsed="false">
      <c r="A8" s="3" t="s">
        <v>417</v>
      </c>
      <c r="B8" s="27" t="n">
        <v>0.02</v>
      </c>
      <c r="C8" s="25" t="s">
        <v>418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customFormat="false" ht="15" hidden="false" customHeight="false" outlineLevel="0" collapsed="false">
      <c r="A9" s="3" t="s">
        <v>419</v>
      </c>
      <c r="B9" s="27" t="n">
        <v>0.003</v>
      </c>
      <c r="C9" s="25" t="s">
        <v>420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customFormat="false" ht="15" hidden="false" customHeight="false" outlineLevel="0" collapsed="false">
      <c r="A10" s="3" t="s">
        <v>421</v>
      </c>
      <c r="B10" s="14" t="n">
        <v>4</v>
      </c>
      <c r="C10" s="25" t="s">
        <v>422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customFormat="false" ht="15" hidden="false" customHeight="false" outlineLevel="0" collapsed="false">
      <c r="A11" s="3" t="s">
        <v>423</v>
      </c>
      <c r="B11" s="14" t="n">
        <v>12</v>
      </c>
      <c r="C11" s="25" t="s">
        <v>424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customFormat="false" ht="15" hidden="false" customHeight="false" outlineLevel="0" collapsed="false">
      <c r="A12" s="3" t="s">
        <v>425</v>
      </c>
      <c r="B12" s="14" t="n">
        <v>20</v>
      </c>
      <c r="C12" s="2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customFormat="false" ht="15" hidden="false" customHeight="false" outlineLevel="0" collapsed="false">
      <c r="A13" s="3" t="s">
        <v>426</v>
      </c>
      <c r="B13" s="21" t="n">
        <v>2.5</v>
      </c>
      <c r="C13" s="25" t="s">
        <v>427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customFormat="false" ht="15" hidden="false" customHeight="false" outlineLevel="0" collapsed="false">
      <c r="A14" s="3" t="s">
        <v>428</v>
      </c>
      <c r="B14" s="14" t="n">
        <v>15</v>
      </c>
      <c r="C14" s="25" t="s">
        <v>427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customFormat="false" ht="15" hidden="false" customHeight="false" outlineLevel="0" collapsed="false">
      <c r="A15" s="13" t="s">
        <v>429</v>
      </c>
      <c r="B15" s="28" t="n">
        <f aca="false">INDEX(귀신!$F:$F,MATCH($B$3,귀신!$A:$A,0))</f>
        <v>30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customFormat="false" ht="15" hidden="false" customHeight="false" outlineLevel="0" collapsed="false">
      <c r="A16" s="13" t="s">
        <v>430</v>
      </c>
      <c r="B16" s="28" t="n">
        <f aca="false">INDEX(귀신!$G:$G,MATCH($B$3,귀신!$A:$A,0))</f>
        <v>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customFormat="false" ht="15" hidden="false" customHeight="false" outlineLevel="0" collapsed="false">
      <c r="A17" s="13" t="s">
        <v>431</v>
      </c>
      <c r="B17" s="29" t="n">
        <f aca="false">INDEX(귀신!$H:$H,MATCH($B$3,귀신!$A:$A,0))</f>
        <v>1.5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customFormat="false" ht="15" hidden="false" customHeight="false" outlineLevel="0" collapsed="false">
      <c r="A18" s="13" t="s">
        <v>432</v>
      </c>
      <c r="B18" s="28" t="n">
        <f aca="false">INDEX(귀신!$J:$J,MATCH($B$3,귀신!$A:$A,0))</f>
        <v>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customFormat="false" ht="29.85" hidden="false" customHeight="false" outlineLevel="0" collapsed="false">
      <c r="A20" s="30" t="s">
        <v>115</v>
      </c>
      <c r="B20" s="30" t="s">
        <v>116</v>
      </c>
      <c r="C20" s="30" t="s">
        <v>433</v>
      </c>
      <c r="D20" s="30" t="s">
        <v>434</v>
      </c>
      <c r="E20" s="30" t="s">
        <v>221</v>
      </c>
      <c r="F20" s="30" t="s">
        <v>435</v>
      </c>
      <c r="G20" s="30" t="s">
        <v>436</v>
      </c>
      <c r="H20" s="30" t="s">
        <v>437</v>
      </c>
      <c r="I20" s="30" t="s">
        <v>438</v>
      </c>
      <c r="J20" s="30" t="s">
        <v>118</v>
      </c>
      <c r="K20" s="30" t="s">
        <v>131</v>
      </c>
      <c r="L20" s="30" t="s">
        <v>439</v>
      </c>
      <c r="M20" s="30" t="s">
        <v>440</v>
      </c>
      <c r="N20" s="30" t="s">
        <v>441</v>
      </c>
      <c r="O20" s="30" t="s">
        <v>442</v>
      </c>
      <c r="P20" s="30" t="s">
        <v>443</v>
      </c>
      <c r="Q20" s="31" t="s">
        <v>444</v>
      </c>
    </row>
    <row r="21" customFormat="false" ht="15" hidden="false" customHeight="false" outlineLevel="0" collapsed="false">
      <c r="A21" s="11" t="n">
        <v>1</v>
      </c>
      <c r="B21" s="32" t="n">
        <f aca="false">INDEX(레벨표!$B:$B,MATCH(A21,레벨표!$A:$A,0))</f>
        <v>1</v>
      </c>
      <c r="C21" s="33" t="n">
        <f aca="false">$B$4*$B$5^(A21-1)</f>
        <v>6</v>
      </c>
      <c r="D21" s="34" t="n">
        <f aca="false">$B$8*A21</f>
        <v>0.02</v>
      </c>
      <c r="E21" s="35" t="n">
        <f aca="false">MIN(상수!$B$10+$B$9*A21,상수!$B$12)</f>
        <v>0.053</v>
      </c>
      <c r="F21" s="17" t="n">
        <f aca="false">1+E21*상수!$B$11</f>
        <v>1.0265</v>
      </c>
      <c r="G21" s="33" t="n">
        <f aca="false">C21*$B$6*(1+D21)*F21*$B$7</f>
        <v>7.538616</v>
      </c>
      <c r="H21" s="18" t="n">
        <f aca="false">$B$15*B21</f>
        <v>30</v>
      </c>
      <c r="I21" s="17" t="n">
        <f aca="false">H21/G21</f>
        <v>3.97951029738085</v>
      </c>
      <c r="J21" s="18" t="n">
        <f aca="false">INDEX(레벨표!$D:$D,MATCH(A21,레벨표!$A:$A,0))+$B$10*A21</f>
        <v>114</v>
      </c>
      <c r="K21" s="18" t="n">
        <f aca="false">$B$11*A21+$B$12</f>
        <v>32</v>
      </c>
      <c r="L21" s="34" t="n">
        <f aca="false">MIN(K21/(K21+상수!$B$4*A21+상수!$B$5),상수!$B$6)</f>
        <v>0.329896907216495</v>
      </c>
      <c r="M21" s="33" t="n">
        <f aca="false">$B$16*INDEX(레벨표!$C:$C,MATCH(A21,레벨표!$A:$A,0))*(1-L21)</f>
        <v>3.35051546391753</v>
      </c>
      <c r="N21" s="33" t="n">
        <f aca="false">J21/M21</f>
        <v>34.0246153846154</v>
      </c>
      <c r="O21" s="33" t="n">
        <f aca="false">N21*$B$17</f>
        <v>51.0369230769231</v>
      </c>
      <c r="P21" s="33" t="n">
        <f aca="false">$B$13</f>
        <v>2.5</v>
      </c>
      <c r="Q21" s="18" t="n">
        <f aca="false">$B$14</f>
        <v>15</v>
      </c>
    </row>
    <row r="22" customFormat="false" ht="15" hidden="false" customHeight="false" outlineLevel="0" collapsed="false">
      <c r="A22" s="11" t="n">
        <v>2</v>
      </c>
      <c r="B22" s="32" t="n">
        <f aca="false">INDEX(레벨표!$B:$B,MATCH(A22,레벨표!$A:$A,0))</f>
        <v>1.12</v>
      </c>
      <c r="C22" s="33" t="n">
        <f aca="false">$B$4*$B$5^(A22-1)</f>
        <v>6.69</v>
      </c>
      <c r="D22" s="34" t="n">
        <f aca="false">$B$8*A22</f>
        <v>0.04</v>
      </c>
      <c r="E22" s="35" t="n">
        <f aca="false">MIN(상수!$B$10+$B$9*A22,상수!$B$12)</f>
        <v>0.056</v>
      </c>
      <c r="F22" s="17" t="n">
        <f aca="false">1+E22*상수!$B$11</f>
        <v>1.028</v>
      </c>
      <c r="G22" s="33" t="n">
        <f aca="false">C22*$B$6*(1+D22)*F22*$B$7</f>
        <v>8.58289536</v>
      </c>
      <c r="H22" s="18" t="n">
        <f aca="false">$B$15*B22</f>
        <v>33.6</v>
      </c>
      <c r="I22" s="17" t="n">
        <f aca="false">H22/G22</f>
        <v>3.91476286156191</v>
      </c>
      <c r="J22" s="18" t="n">
        <f aca="false">INDEX(레벨표!$D:$D,MATCH(A22,레벨표!$A:$A,0))+$B$10*A22</f>
        <v>128</v>
      </c>
      <c r="K22" s="18" t="n">
        <f aca="false">$B$11*A22+$B$12</f>
        <v>44</v>
      </c>
      <c r="L22" s="34" t="n">
        <f aca="false">MIN(K22/(K22+상수!$B$4*A22+상수!$B$5),상수!$B$6)</f>
        <v>0.354838709677419</v>
      </c>
      <c r="M22" s="33" t="n">
        <f aca="false">$B$16*INDEX(레벨표!$C:$C,MATCH(A22,레벨표!$A:$A,0))*(1-L22)</f>
        <v>3.51612903225806</v>
      </c>
      <c r="N22" s="33" t="n">
        <f aca="false">J22/M22</f>
        <v>36.4036697247706</v>
      </c>
      <c r="O22" s="33" t="n">
        <f aca="false">N22*$B$17</f>
        <v>54.605504587156</v>
      </c>
      <c r="P22" s="33" t="n">
        <f aca="false">$B$13</f>
        <v>2.5</v>
      </c>
      <c r="Q22" s="18" t="n">
        <f aca="false">$B$14</f>
        <v>15</v>
      </c>
    </row>
    <row r="23" customFormat="false" ht="15" hidden="false" customHeight="false" outlineLevel="0" collapsed="false">
      <c r="A23" s="11" t="n">
        <v>3</v>
      </c>
      <c r="B23" s="32" t="n">
        <f aca="false">INDEX(레벨표!$B:$B,MATCH(A23,레벨표!$A:$A,0))</f>
        <v>1.2544</v>
      </c>
      <c r="C23" s="33" t="n">
        <f aca="false">$B$4*$B$5^(A23-1)</f>
        <v>7.45935</v>
      </c>
      <c r="D23" s="34" t="n">
        <f aca="false">$B$8*A23</f>
        <v>0.06</v>
      </c>
      <c r="E23" s="35" t="n">
        <f aca="false">MIN(상수!$B$10+$B$9*A23,상수!$B$12)</f>
        <v>0.059</v>
      </c>
      <c r="F23" s="17" t="n">
        <f aca="false">1+E23*상수!$B$11</f>
        <v>1.0295</v>
      </c>
      <c r="G23" s="33" t="n">
        <f aca="false">C23*$B$6*(1+D23)*F23*$B$7</f>
        <v>9.7681978494</v>
      </c>
      <c r="H23" s="18" t="n">
        <f aca="false">$B$15*B23</f>
        <v>37.632</v>
      </c>
      <c r="I23" s="17" t="n">
        <f aca="false">H23/G23</f>
        <v>3.85250182072341</v>
      </c>
      <c r="J23" s="18" t="n">
        <f aca="false">INDEX(레벨표!$D:$D,MATCH(A23,레벨표!$A:$A,0))+$B$10*A23</f>
        <v>142</v>
      </c>
      <c r="K23" s="18" t="n">
        <f aca="false">$B$11*A23+$B$12</f>
        <v>56</v>
      </c>
      <c r="L23" s="34" t="n">
        <f aca="false">MIN(K23/(K23+상수!$B$4*A23+상수!$B$5),상수!$B$6)</f>
        <v>0.370860927152318</v>
      </c>
      <c r="M23" s="33" t="n">
        <f aca="false">$B$16*INDEX(레벨표!$C:$C,MATCH(A23,레벨표!$A:$A,0))*(1-L23)</f>
        <v>3.73740066225166</v>
      </c>
      <c r="N23" s="33" t="n">
        <f aca="false">J23/M23</f>
        <v>37.9943208749928</v>
      </c>
      <c r="O23" s="33" t="n">
        <f aca="false">N23*$B$17</f>
        <v>56.9914813124892</v>
      </c>
      <c r="P23" s="33" t="n">
        <f aca="false">$B$13</f>
        <v>2.5</v>
      </c>
      <c r="Q23" s="18" t="n">
        <f aca="false">$B$14</f>
        <v>15</v>
      </c>
    </row>
    <row r="24" customFormat="false" ht="15" hidden="false" customHeight="false" outlineLevel="0" collapsed="false">
      <c r="A24" s="11" t="n">
        <v>4</v>
      </c>
      <c r="B24" s="32" t="n">
        <f aca="false">INDEX(레벨표!$B:$B,MATCH(A24,레벨표!$A:$A,0))</f>
        <v>1.404928</v>
      </c>
      <c r="C24" s="33" t="n">
        <f aca="false">$B$4*$B$5^(A24-1)</f>
        <v>8.31717525</v>
      </c>
      <c r="D24" s="34" t="n">
        <f aca="false">$B$8*A24</f>
        <v>0.08</v>
      </c>
      <c r="E24" s="35" t="n">
        <f aca="false">MIN(상수!$B$10+$B$9*A24,상수!$B$12)</f>
        <v>0.062</v>
      </c>
      <c r="F24" s="17" t="n">
        <f aca="false">1+E24*상수!$B$11</f>
        <v>1.031</v>
      </c>
      <c r="G24" s="33" t="n">
        <f aca="false">C24*$B$6*(1+D24)*F24*$B$7</f>
        <v>11.113209956844</v>
      </c>
      <c r="H24" s="18" t="n">
        <f aca="false">$B$15*B24</f>
        <v>42.14784</v>
      </c>
      <c r="I24" s="17" t="n">
        <f aca="false">H24/G24</f>
        <v>3.7925891946317</v>
      </c>
      <c r="J24" s="18" t="n">
        <f aca="false">INDEX(레벨표!$D:$D,MATCH(A24,레벨표!$A:$A,0))+$B$10*A24</f>
        <v>156</v>
      </c>
      <c r="K24" s="18" t="n">
        <f aca="false">$B$11*A24+$B$12</f>
        <v>68</v>
      </c>
      <c r="L24" s="34" t="n">
        <f aca="false">MIN(K24/(K24+상수!$B$4*A24+상수!$B$5),상수!$B$6)</f>
        <v>0.382022471910112</v>
      </c>
      <c r="M24" s="33" t="n">
        <f aca="false">$B$16*INDEX(레벨표!$C:$C,MATCH(A24,레벨표!$A:$A,0))*(1-L24)</f>
        <v>4.0014941011236</v>
      </c>
      <c r="N24" s="33" t="n">
        <f aca="false">J24/M24</f>
        <v>38.9854379533375</v>
      </c>
      <c r="O24" s="33" t="n">
        <f aca="false">N24*$B$17</f>
        <v>58.4781569300063</v>
      </c>
      <c r="P24" s="33" t="n">
        <f aca="false">$B$13</f>
        <v>2.5</v>
      </c>
      <c r="Q24" s="18" t="n">
        <f aca="false">$B$14</f>
        <v>15</v>
      </c>
    </row>
    <row r="25" customFormat="false" ht="15" hidden="false" customHeight="false" outlineLevel="0" collapsed="false">
      <c r="A25" s="11" t="n">
        <v>5</v>
      </c>
      <c r="B25" s="32" t="n">
        <f aca="false">INDEX(레벨표!$B:$B,MATCH(A25,레벨표!$A:$A,0))</f>
        <v>1.57351936</v>
      </c>
      <c r="C25" s="33" t="n">
        <f aca="false">$B$4*$B$5^(A25-1)</f>
        <v>9.27365040375</v>
      </c>
      <c r="D25" s="34" t="n">
        <f aca="false">$B$8*A25</f>
        <v>0.1</v>
      </c>
      <c r="E25" s="35" t="n">
        <f aca="false">MIN(상수!$B$10+$B$9*A25,상수!$B$12)</f>
        <v>0.065</v>
      </c>
      <c r="F25" s="17" t="n">
        <f aca="false">1+E25*상수!$B$11</f>
        <v>1.0325</v>
      </c>
      <c r="G25" s="33" t="n">
        <f aca="false">C25*$B$6*(1+D25)*F25*$B$7</f>
        <v>12.6390581352709</v>
      </c>
      <c r="H25" s="18" t="n">
        <f aca="false">$B$15*B25</f>
        <v>47.2055808</v>
      </c>
      <c r="I25" s="17" t="n">
        <f aca="false">H25/G25</f>
        <v>3.73489703859079</v>
      </c>
      <c r="J25" s="18" t="n">
        <f aca="false">INDEX(레벨표!$D:$D,MATCH(A25,레벨표!$A:$A,0))+$B$10*A25</f>
        <v>170</v>
      </c>
      <c r="K25" s="18" t="n">
        <f aca="false">$B$11*A25+$B$12</f>
        <v>80</v>
      </c>
      <c r="L25" s="34" t="n">
        <f aca="false">MIN(K25/(K25+상수!$B$4*A25+상수!$B$5),상수!$B$6)</f>
        <v>0.390243902439024</v>
      </c>
      <c r="M25" s="33" t="n">
        <f aca="false">$B$16*INDEX(레벨표!$C:$C,MATCH(A25,레벨표!$A:$A,0))*(1-L25)</f>
        <v>4.3036024695122</v>
      </c>
      <c r="N25" s="33" t="n">
        <f aca="false">J25/M25</f>
        <v>39.5017897689953</v>
      </c>
      <c r="O25" s="33" t="n">
        <f aca="false">N25*$B$17</f>
        <v>59.252684653493</v>
      </c>
      <c r="P25" s="33" t="n">
        <f aca="false">$B$13</f>
        <v>2.5</v>
      </c>
      <c r="Q25" s="18" t="n">
        <f aca="false">$B$14</f>
        <v>15</v>
      </c>
    </row>
    <row r="26" customFormat="false" ht="15" hidden="false" customHeight="false" outlineLevel="0" collapsed="false">
      <c r="A26" s="11" t="n">
        <v>6</v>
      </c>
      <c r="B26" s="32" t="n">
        <f aca="false">INDEX(레벨표!$B:$B,MATCH(A26,레벨표!$A:$A,0))</f>
        <v>1.7623416832</v>
      </c>
      <c r="C26" s="33" t="n">
        <f aca="false">$B$4*$B$5^(A26-1)</f>
        <v>10.3401202001813</v>
      </c>
      <c r="D26" s="34" t="n">
        <f aca="false">$B$8*A26</f>
        <v>0.12</v>
      </c>
      <c r="E26" s="35" t="n">
        <f aca="false">MIN(상수!$B$10+$B$9*A26,상수!$B$12)</f>
        <v>0.068</v>
      </c>
      <c r="F26" s="17" t="n">
        <f aca="false">1+E26*상수!$B$11</f>
        <v>1.034</v>
      </c>
      <c r="G26" s="33" t="n">
        <f aca="false">C26*$B$6*(1+D26)*F26*$B$7</f>
        <v>14.3696236817111</v>
      </c>
      <c r="H26" s="18" t="n">
        <f aca="false">$B$15*B26</f>
        <v>52.870250496</v>
      </c>
      <c r="I26" s="17" t="n">
        <f aca="false">H26/G26</f>
        <v>3.67930654741436</v>
      </c>
      <c r="J26" s="18" t="n">
        <f aca="false">INDEX(레벨표!$D:$D,MATCH(A26,레벨표!$A:$A,0))+$B$10*A26</f>
        <v>184</v>
      </c>
      <c r="K26" s="18" t="n">
        <f aca="false">$B$11*A26+$B$12</f>
        <v>92</v>
      </c>
      <c r="L26" s="34" t="n">
        <f aca="false">MIN(K26/(K26+상수!$B$4*A26+상수!$B$5),상수!$B$6)</f>
        <v>0.396551724137931</v>
      </c>
      <c r="M26" s="33" t="n">
        <f aca="false">$B$16*INDEX(레벨표!$C:$C,MATCH(A26,레벨표!$A:$A,0))*(1-L26)</f>
        <v>4.64239986392242</v>
      </c>
      <c r="N26" s="33" t="n">
        <f aca="false">J26/M26</f>
        <v>39.6346728832911</v>
      </c>
      <c r="O26" s="33" t="n">
        <f aca="false">N26*$B$17</f>
        <v>59.4520093249366</v>
      </c>
      <c r="P26" s="33" t="n">
        <f aca="false">$B$13</f>
        <v>2.5</v>
      </c>
      <c r="Q26" s="18" t="n">
        <f aca="false">$B$14</f>
        <v>15</v>
      </c>
    </row>
    <row r="27" customFormat="false" ht="15" hidden="false" customHeight="false" outlineLevel="0" collapsed="false">
      <c r="A27" s="11" t="n">
        <v>7</v>
      </c>
      <c r="B27" s="32" t="n">
        <f aca="false">INDEX(레벨표!$B:$B,MATCH(A27,레벨표!$A:$A,0))</f>
        <v>1.973822685184</v>
      </c>
      <c r="C27" s="33" t="n">
        <f aca="false">$B$4*$B$5^(A27-1)</f>
        <v>11.5292340232021</v>
      </c>
      <c r="D27" s="34" t="n">
        <f aca="false">$B$8*A27</f>
        <v>0.14</v>
      </c>
      <c r="E27" s="35" t="n">
        <f aca="false">MIN(상수!$B$10+$B$9*A27,상수!$B$12)</f>
        <v>0.071</v>
      </c>
      <c r="F27" s="17" t="n">
        <f aca="false">1+E27*상수!$B$11</f>
        <v>1.0355</v>
      </c>
      <c r="G27" s="33" t="n">
        <f aca="false">C27*$B$6*(1+D27)*F27*$B$7</f>
        <v>16.3318978648433</v>
      </c>
      <c r="H27" s="18" t="n">
        <f aca="false">$B$15*B27</f>
        <v>59.21468055552</v>
      </c>
      <c r="I27" s="17" t="n">
        <f aca="false">H27/G27</f>
        <v>3.62570725371655</v>
      </c>
      <c r="J27" s="18" t="n">
        <f aca="false">INDEX(레벨표!$D:$D,MATCH(A27,레벨표!$A:$A,0))+$B$10*A27</f>
        <v>198</v>
      </c>
      <c r="K27" s="18" t="n">
        <f aca="false">$B$11*A27+$B$12</f>
        <v>104</v>
      </c>
      <c r="L27" s="34" t="n">
        <f aca="false">MIN(K27/(K27+상수!$B$4*A27+상수!$B$5),상수!$B$6)</f>
        <v>0.401544401544402</v>
      </c>
      <c r="M27" s="33" t="n">
        <f aca="false">$B$16*INDEX(레벨표!$C:$C,MATCH(A27,레벨표!$A:$A,0))*(1-L27)</f>
        <v>5.01834975251651</v>
      </c>
      <c r="N27" s="33" t="n">
        <f aca="false">J27/M27</f>
        <v>39.4552013638967</v>
      </c>
      <c r="O27" s="33" t="n">
        <f aca="false">N27*$B$17</f>
        <v>59.1828020458451</v>
      </c>
      <c r="P27" s="33" t="n">
        <f aca="false">$B$13</f>
        <v>2.5</v>
      </c>
      <c r="Q27" s="18" t="n">
        <f aca="false">$B$14</f>
        <v>15</v>
      </c>
    </row>
    <row r="28" customFormat="false" ht="15" hidden="false" customHeight="false" outlineLevel="0" collapsed="false">
      <c r="A28" s="11" t="n">
        <v>8</v>
      </c>
      <c r="B28" s="32" t="n">
        <f aca="false">INDEX(레벨표!$B:$B,MATCH(A28,레벨표!$A:$A,0))</f>
        <v>2.21068140740608</v>
      </c>
      <c r="C28" s="33" t="n">
        <f aca="false">$B$4*$B$5^(A28-1)</f>
        <v>12.8550959358703</v>
      </c>
      <c r="D28" s="34" t="n">
        <f aca="false">$B$8*A28</f>
        <v>0.16</v>
      </c>
      <c r="E28" s="35" t="n">
        <f aca="false">MIN(상수!$B$10+$B$9*A28,상수!$B$12)</f>
        <v>0.074</v>
      </c>
      <c r="F28" s="17" t="n">
        <f aca="false">1+E28*상수!$B$11</f>
        <v>1.037</v>
      </c>
      <c r="G28" s="33" t="n">
        <f aca="false">C28*$B$6*(1+D28)*F28*$B$7</f>
        <v>18.5563824038126</v>
      </c>
      <c r="H28" s="18" t="n">
        <f aca="false">$B$15*B28</f>
        <v>66.3204422221824</v>
      </c>
      <c r="I28" s="17" t="n">
        <f aca="false">H28/G28</f>
        <v>3.57399630913816</v>
      </c>
      <c r="J28" s="18" t="n">
        <f aca="false">INDEX(레벨표!$D:$D,MATCH(A28,레벨표!$A:$A,0))+$B$10*A28</f>
        <v>212</v>
      </c>
      <c r="K28" s="18" t="n">
        <f aca="false">$B$11*A28+$B$12</f>
        <v>116</v>
      </c>
      <c r="L28" s="34" t="n">
        <f aca="false">MIN(K28/(K28+상수!$B$4*A28+상수!$B$5),상수!$B$6)</f>
        <v>0.405594405594406</v>
      </c>
      <c r="M28" s="33" t="n">
        <f aca="false">$B$16*INDEX(레벨표!$C:$C,MATCH(A28,레벨표!$A:$A,0))*(1-L28)</f>
        <v>5.43298340102863</v>
      </c>
      <c r="N28" s="33" t="n">
        <f aca="false">J28/M28</f>
        <v>39.0209180392235</v>
      </c>
      <c r="O28" s="33" t="n">
        <f aca="false">N28*$B$17</f>
        <v>58.5313770588353</v>
      </c>
      <c r="P28" s="33" t="n">
        <f aca="false">$B$13</f>
        <v>2.5</v>
      </c>
      <c r="Q28" s="18" t="n">
        <f aca="false">$B$14</f>
        <v>15</v>
      </c>
    </row>
    <row r="29" customFormat="false" ht="15" hidden="false" customHeight="false" outlineLevel="0" collapsed="false">
      <c r="A29" s="11" t="n">
        <v>9</v>
      </c>
      <c r="B29" s="32" t="n">
        <f aca="false">INDEX(레벨표!$B:$B,MATCH(A29,레벨표!$A:$A,0))</f>
        <v>2.47596317629481</v>
      </c>
      <c r="C29" s="33" t="n">
        <f aca="false">$B$4*$B$5^(A29-1)</f>
        <v>14.3334319684954</v>
      </c>
      <c r="D29" s="34" t="n">
        <f aca="false">$B$8*A29</f>
        <v>0.18</v>
      </c>
      <c r="E29" s="35" t="n">
        <f aca="false">MIN(상수!$B$10+$B$9*A29,상수!$B$12)</f>
        <v>0.077</v>
      </c>
      <c r="F29" s="17" t="n">
        <f aca="false">1+E29*상수!$B$11</f>
        <v>1.0385</v>
      </c>
      <c r="G29" s="33" t="n">
        <f aca="false">C29*$B$6*(1+D29)*F29*$B$7</f>
        <v>21.077541044584</v>
      </c>
      <c r="H29" s="18" t="n">
        <f aca="false">$B$15*B29</f>
        <v>74.2788952888443</v>
      </c>
      <c r="I29" s="17" t="n">
        <f aca="false">H29/G29</f>
        <v>3.52407783866851</v>
      </c>
      <c r="J29" s="18" t="n">
        <f aca="false">INDEX(레벨표!$D:$D,MATCH(A29,레벨표!$A:$A,0))+$B$10*A29</f>
        <v>226</v>
      </c>
      <c r="K29" s="18" t="n">
        <f aca="false">$B$11*A29+$B$12</f>
        <v>128</v>
      </c>
      <c r="L29" s="34" t="n">
        <f aca="false">MIN(K29/(K29+상수!$B$4*A29+상수!$B$5),상수!$B$6)</f>
        <v>0.408945686900958</v>
      </c>
      <c r="M29" s="33" t="n">
        <f aca="false">$B$16*INDEX(레벨표!$C:$C,MATCH(A29,레벨표!$A:$A,0))*(1-L29)</f>
        <v>5.88856371745505</v>
      </c>
      <c r="N29" s="33" t="n">
        <f aca="false">J29/M29</f>
        <v>38.3794777205322</v>
      </c>
      <c r="O29" s="33" t="n">
        <f aca="false">N29*$B$17</f>
        <v>57.5692165807983</v>
      </c>
      <c r="P29" s="33" t="n">
        <f aca="false">$B$13</f>
        <v>2.5</v>
      </c>
      <c r="Q29" s="18" t="n">
        <f aca="false">$B$14</f>
        <v>15</v>
      </c>
    </row>
    <row r="30" customFormat="false" ht="15" hidden="false" customHeight="false" outlineLevel="0" collapsed="false">
      <c r="A30" s="11" t="n">
        <v>10</v>
      </c>
      <c r="B30" s="32" t="n">
        <f aca="false">INDEX(레벨표!$B:$B,MATCH(A30,레벨표!$A:$A,0))</f>
        <v>2.77307875745019</v>
      </c>
      <c r="C30" s="33" t="n">
        <f aca="false">$B$4*$B$5^(A30-1)</f>
        <v>15.9817766448724</v>
      </c>
      <c r="D30" s="34" t="n">
        <f aca="false">$B$8*A30</f>
        <v>0.2</v>
      </c>
      <c r="E30" s="35" t="n">
        <f aca="false">MIN(상수!$B$10+$B$9*A30,상수!$B$12)</f>
        <v>0.08</v>
      </c>
      <c r="F30" s="17" t="n">
        <f aca="false">1+E30*상수!$B$11</f>
        <v>1.04</v>
      </c>
      <c r="G30" s="33" t="n">
        <f aca="false">C30*$B$6*(1+D30)*F30*$B$7</f>
        <v>23.9343087033609</v>
      </c>
      <c r="H30" s="18" t="n">
        <f aca="false">$B$15*B30</f>
        <v>83.1923627235057</v>
      </c>
      <c r="I30" s="17" t="n">
        <f aca="false">H30/G30</f>
        <v>3.47586235953511</v>
      </c>
      <c r="J30" s="18" t="n">
        <f aca="false">INDEX(레벨표!$D:$D,MATCH(A30,레벨표!$A:$A,0))+$B$10*A30</f>
        <v>240</v>
      </c>
      <c r="K30" s="18" t="n">
        <f aca="false">$B$11*A30+$B$12</f>
        <v>140</v>
      </c>
      <c r="L30" s="34" t="n">
        <f aca="false">MIN(K30/(K30+상수!$B$4*A30+상수!$B$5),상수!$B$6)</f>
        <v>0.411764705882353</v>
      </c>
      <c r="M30" s="33" t="n">
        <f aca="false">$B$16*INDEX(레벨표!$C:$C,MATCH(A30,레벨표!$A:$A,0))*(1-L30)</f>
        <v>6.38792141012445</v>
      </c>
      <c r="N30" s="33" t="n">
        <f aca="false">J30/M30</f>
        <v>37.5709068085302</v>
      </c>
      <c r="O30" s="33" t="n">
        <f aca="false">N30*$B$17</f>
        <v>56.3563602127952</v>
      </c>
      <c r="P30" s="33" t="n">
        <f aca="false">$B$13</f>
        <v>2.5</v>
      </c>
      <c r="Q30" s="18" t="n">
        <f aca="false">$B$14</f>
        <v>15</v>
      </c>
    </row>
    <row r="31" customFormat="false" ht="15" hidden="false" customHeight="false" outlineLevel="0" collapsed="false">
      <c r="A31" s="11" t="n">
        <v>11</v>
      </c>
      <c r="B31" s="32" t="n">
        <f aca="false">INDEX(레벨표!$B:$B,MATCH(A31,레벨표!$A:$A,0))</f>
        <v>3.10584820834421</v>
      </c>
      <c r="C31" s="33" t="n">
        <f aca="false">$B$4*$B$5^(A31-1)</f>
        <v>17.8196809590327</v>
      </c>
      <c r="D31" s="34" t="n">
        <f aca="false">$B$8*A31</f>
        <v>0.22</v>
      </c>
      <c r="E31" s="35" t="n">
        <f aca="false">MIN(상수!$B$10+$B$9*A31,상수!$B$12)</f>
        <v>0.083</v>
      </c>
      <c r="F31" s="17" t="n">
        <f aca="false">1+E31*상수!$B$11</f>
        <v>1.0415</v>
      </c>
      <c r="G31" s="33" t="n">
        <f aca="false">C31*$B$6*(1+D31)*F31*$B$7</f>
        <v>27.1706654603709</v>
      </c>
      <c r="H31" s="18" t="n">
        <f aca="false">$B$15*B31</f>
        <v>93.1754462503264</v>
      </c>
      <c r="I31" s="17" t="n">
        <f aca="false">H31/G31</f>
        <v>3.42926625725178</v>
      </c>
      <c r="J31" s="18" t="n">
        <f aca="false">INDEX(레벨표!$D:$D,MATCH(A31,레벨표!$A:$A,0))+$B$10*A31</f>
        <v>254</v>
      </c>
      <c r="K31" s="18" t="n">
        <f aca="false">$B$11*A31+$B$12</f>
        <v>152</v>
      </c>
      <c r="L31" s="34" t="n">
        <f aca="false">MIN(K31/(K31+상수!$B$4*A31+상수!$B$5),상수!$B$6)</f>
        <v>0.4141689373297</v>
      </c>
      <c r="M31" s="33" t="n">
        <f aca="false">$B$16*INDEX(레벨표!$C:$C,MATCH(A31,레벨표!$A:$A,0))*(1-L31)</f>
        <v>6.93437588606683</v>
      </c>
      <c r="N31" s="33" t="n">
        <f aca="false">J31/M31</f>
        <v>36.6291075322812</v>
      </c>
      <c r="O31" s="33" t="n">
        <f aca="false">N31*$B$17</f>
        <v>54.9436612984218</v>
      </c>
      <c r="P31" s="33" t="n">
        <f aca="false">$B$13</f>
        <v>2.5</v>
      </c>
      <c r="Q31" s="18" t="n">
        <f aca="false">$B$14</f>
        <v>15</v>
      </c>
    </row>
    <row r="32" customFormat="false" ht="15" hidden="false" customHeight="false" outlineLevel="0" collapsed="false">
      <c r="A32" s="11" t="n">
        <v>12</v>
      </c>
      <c r="B32" s="32" t="n">
        <f aca="false">INDEX(레벨표!$B:$B,MATCH(A32,레벨표!$A:$A,0))</f>
        <v>3.47854999334552</v>
      </c>
      <c r="C32" s="33" t="n">
        <f aca="false">$B$4*$B$5^(A32-1)</f>
        <v>19.8689442693215</v>
      </c>
      <c r="D32" s="34" t="n">
        <f aca="false">$B$8*A32</f>
        <v>0.24</v>
      </c>
      <c r="E32" s="35" t="n">
        <f aca="false">MIN(상수!$B$10+$B$9*A32,상수!$B$12)</f>
        <v>0.086</v>
      </c>
      <c r="F32" s="17" t="n">
        <f aca="false">1+E32*상수!$B$11</f>
        <v>1.043</v>
      </c>
      <c r="G32" s="33" t="n">
        <f aca="false">C32*$B$6*(1+D32)*F32*$B$7</f>
        <v>30.8362836028786</v>
      </c>
      <c r="H32" s="18" t="n">
        <f aca="false">$B$15*B32</f>
        <v>104.356499800366</v>
      </c>
      <c r="I32" s="17" t="n">
        <f aca="false">H32/G32</f>
        <v>3.38421131237176</v>
      </c>
      <c r="J32" s="18" t="n">
        <f aca="false">INDEX(레벨표!$D:$D,MATCH(A32,레벨표!$A:$A,0))+$B$10*A32</f>
        <v>268</v>
      </c>
      <c r="K32" s="18" t="n">
        <f aca="false">$B$11*A32+$B$12</f>
        <v>164</v>
      </c>
      <c r="L32" s="34" t="n">
        <f aca="false">MIN(K32/(K32+상수!$B$4*A32+상수!$B$5),상수!$B$6)</f>
        <v>0.416243654822335</v>
      </c>
      <c r="M32" s="33" t="n">
        <f aca="false">$B$16*INDEX(레벨표!$C:$C,MATCH(A32,레벨표!$A:$A,0))*(1-L32)</f>
        <v>7.53170143680513</v>
      </c>
      <c r="N32" s="33" t="n">
        <f aca="false">J32/M32</f>
        <v>35.582929335245</v>
      </c>
      <c r="O32" s="33" t="n">
        <f aca="false">N32*$B$17</f>
        <v>53.3743940028675</v>
      </c>
      <c r="P32" s="33" t="n">
        <f aca="false">$B$13</f>
        <v>2.5</v>
      </c>
      <c r="Q32" s="18" t="n">
        <f aca="false">$B$14</f>
        <v>15</v>
      </c>
    </row>
    <row r="33" customFormat="false" ht="15" hidden="false" customHeight="false" outlineLevel="0" collapsed="false">
      <c r="A33" s="11" t="n">
        <v>13</v>
      </c>
      <c r="B33" s="32" t="n">
        <f aca="false">INDEX(레벨표!$B:$B,MATCH(A33,레벨표!$A:$A,0))</f>
        <v>3.89597599254698</v>
      </c>
      <c r="C33" s="33" t="n">
        <f aca="false">$B$4*$B$5^(A33-1)</f>
        <v>22.1538728602935</v>
      </c>
      <c r="D33" s="34" t="n">
        <f aca="false">$B$8*A33</f>
        <v>0.26</v>
      </c>
      <c r="E33" s="35" t="n">
        <f aca="false">MIN(상수!$B$10+$B$9*A33,상수!$B$12)</f>
        <v>0.089</v>
      </c>
      <c r="F33" s="17" t="n">
        <f aca="false">1+E33*상수!$B$11</f>
        <v>1.0445</v>
      </c>
      <c r="G33" s="33" t="n">
        <f aca="false">C33*$B$6*(1+D33)*F33*$B$7</f>
        <v>34.9872569462957</v>
      </c>
      <c r="H33" s="18" t="n">
        <f aca="false">$B$15*B33</f>
        <v>116.879279776409</v>
      </c>
      <c r="I33" s="17" t="n">
        <f aca="false">H33/G33</f>
        <v>3.34062427231193</v>
      </c>
      <c r="J33" s="18" t="n">
        <f aca="false">INDEX(레벨표!$D:$D,MATCH(A33,레벨표!$A:$A,0))+$B$10*A33</f>
        <v>282</v>
      </c>
      <c r="K33" s="18" t="n">
        <f aca="false">$B$11*A33+$B$12</f>
        <v>176</v>
      </c>
      <c r="L33" s="34" t="n">
        <f aca="false">MIN(K33/(K33+상수!$B$4*A33+상수!$B$5),상수!$B$6)</f>
        <v>0.418052256532067</v>
      </c>
      <c r="M33" s="33" t="n">
        <f aca="false">$B$16*INDEX(레벨표!$C:$C,MATCH(A33,레벨표!$A:$A,0))*(1-L33)</f>
        <v>8.18411961445142</v>
      </c>
      <c r="N33" s="33" t="n">
        <f aca="false">J33/M33</f>
        <v>34.4569743949059</v>
      </c>
      <c r="O33" s="33" t="n">
        <f aca="false">N33*$B$17</f>
        <v>51.6854615923589</v>
      </c>
      <c r="P33" s="33" t="n">
        <f aca="false">$B$13</f>
        <v>2.5</v>
      </c>
      <c r="Q33" s="18" t="n">
        <f aca="false">$B$14</f>
        <v>15</v>
      </c>
    </row>
    <row r="34" customFormat="false" ht="15" hidden="false" customHeight="false" outlineLevel="0" collapsed="false">
      <c r="A34" s="11" t="n">
        <v>14</v>
      </c>
      <c r="B34" s="32" t="n">
        <f aca="false">INDEX(레벨표!$B:$B,MATCH(A34,레벨표!$A:$A,0))</f>
        <v>4.36349311165262</v>
      </c>
      <c r="C34" s="33" t="n">
        <f aca="false">$B$4*$B$5^(A34-1)</f>
        <v>24.7015682392272</v>
      </c>
      <c r="D34" s="34" t="n">
        <f aca="false">$B$8*A34</f>
        <v>0.28</v>
      </c>
      <c r="E34" s="35" t="n">
        <f aca="false">MIN(상수!$B$10+$B$9*A34,상수!$B$12)</f>
        <v>0.092</v>
      </c>
      <c r="F34" s="17" t="n">
        <f aca="false">1+E34*상수!$B$11</f>
        <v>1.046</v>
      </c>
      <c r="G34" s="33" t="n">
        <f aca="false">C34*$B$6*(1+D34)*F34*$B$7</f>
        <v>39.6869228209638</v>
      </c>
      <c r="H34" s="18" t="n">
        <f aca="false">$B$15*B34</f>
        <v>130.904793349579</v>
      </c>
      <c r="I34" s="17" t="n">
        <f aca="false">H34/G34</f>
        <v>3.29843646331861</v>
      </c>
      <c r="J34" s="18" t="n">
        <f aca="false">INDEX(레벨표!$D:$D,MATCH(A34,레벨표!$A:$A,0))+$B$10*A34</f>
        <v>296</v>
      </c>
      <c r="K34" s="18" t="n">
        <f aca="false">$B$11*A34+$B$12</f>
        <v>188</v>
      </c>
      <c r="L34" s="34" t="n">
        <f aca="false">MIN(K34/(K34+상수!$B$4*A34+상수!$B$5),상수!$B$6)</f>
        <v>0.419642857142857</v>
      </c>
      <c r="M34" s="33" t="n">
        <f aca="false">$B$16*INDEX(레벨표!$C:$C,MATCH(A34,레벨표!$A:$A,0))*(1-L34)</f>
        <v>8.89630802630885</v>
      </c>
      <c r="N34" s="33" t="n">
        <f aca="false">J34/M34</f>
        <v>33.2722292353914</v>
      </c>
      <c r="O34" s="33" t="n">
        <f aca="false">N34*$B$17</f>
        <v>49.908343853087</v>
      </c>
      <c r="P34" s="33" t="n">
        <f aca="false">$B$13</f>
        <v>2.5</v>
      </c>
      <c r="Q34" s="18" t="n">
        <f aca="false">$B$14</f>
        <v>15</v>
      </c>
    </row>
    <row r="35" customFormat="false" ht="15" hidden="false" customHeight="false" outlineLevel="0" collapsed="false">
      <c r="A35" s="11" t="n">
        <v>15</v>
      </c>
      <c r="B35" s="32" t="n">
        <f aca="false">INDEX(레벨표!$B:$B,MATCH(A35,레벨표!$A:$A,0))</f>
        <v>4.88711228505093</v>
      </c>
      <c r="C35" s="33" t="n">
        <f aca="false">$B$4*$B$5^(A35-1)</f>
        <v>27.5422485867383</v>
      </c>
      <c r="D35" s="34" t="n">
        <f aca="false">$B$8*A35</f>
        <v>0.3</v>
      </c>
      <c r="E35" s="35" t="n">
        <f aca="false">MIN(상수!$B$10+$B$9*A35,상수!$B$12)</f>
        <v>0.095</v>
      </c>
      <c r="F35" s="17" t="n">
        <f aca="false">1+E35*상수!$B$11</f>
        <v>1.0475</v>
      </c>
      <c r="G35" s="33" t="n">
        <f aca="false">C35*$B$6*(1+D35)*F35*$B$7</f>
        <v>45.0067884155891</v>
      </c>
      <c r="H35" s="18" t="n">
        <f aca="false">$B$15*B35</f>
        <v>146.613368551528</v>
      </c>
      <c r="I35" s="17" t="n">
        <f aca="false">H35/G35</f>
        <v>3.25758343825184</v>
      </c>
      <c r="J35" s="18" t="n">
        <f aca="false">INDEX(레벨표!$D:$D,MATCH(A35,레벨표!$A:$A,0))+$B$10*A35</f>
        <v>310</v>
      </c>
      <c r="K35" s="18" t="n">
        <f aca="false">$B$11*A35+$B$12</f>
        <v>200</v>
      </c>
      <c r="L35" s="34" t="n">
        <f aca="false">MIN(K35/(K35+상수!$B$4*A35+상수!$B$5),상수!$B$6)</f>
        <v>0.421052631578947</v>
      </c>
      <c r="M35" s="33" t="n">
        <f aca="false">$B$16*INDEX(레벨표!$C:$C,MATCH(A35,레벨표!$A:$A,0))*(1-L35)</f>
        <v>9.6734203419997</v>
      </c>
      <c r="N35" s="33" t="n">
        <f aca="false">J35/M35</f>
        <v>32.0465759824427</v>
      </c>
      <c r="O35" s="33" t="n">
        <f aca="false">N35*$B$17</f>
        <v>48.069863973664</v>
      </c>
      <c r="P35" s="33" t="n">
        <f aca="false">$B$13</f>
        <v>2.5</v>
      </c>
      <c r="Q35" s="18" t="n">
        <f aca="false">$B$14</f>
        <v>15</v>
      </c>
    </row>
    <row r="36" customFormat="false" ht="15" hidden="false" customHeight="false" outlineLevel="0" collapsed="false">
      <c r="A36" s="11" t="n">
        <v>16</v>
      </c>
      <c r="B36" s="32" t="n">
        <f aca="false">INDEX(레벨표!$B:$B,MATCH(A36,레벨표!$A:$A,0))</f>
        <v>5.47356575925705</v>
      </c>
      <c r="C36" s="33" t="n">
        <f aca="false">$B$4*$B$5^(A36-1)</f>
        <v>30.7096071742132</v>
      </c>
      <c r="D36" s="34" t="n">
        <f aca="false">$B$8*A36</f>
        <v>0.32</v>
      </c>
      <c r="E36" s="35" t="n">
        <f aca="false">MIN(상수!$B$10+$B$9*A36,상수!$B$12)</f>
        <v>0.098</v>
      </c>
      <c r="F36" s="17" t="n">
        <f aca="false">1+E36*상수!$B$11</f>
        <v>1.049</v>
      </c>
      <c r="G36" s="33" t="n">
        <f aca="false">C36*$B$6*(1+D36)*F36*$B$7</f>
        <v>51.0275746343875</v>
      </c>
      <c r="H36" s="18" t="n">
        <f aca="false">$B$15*B36</f>
        <v>164.206972777711</v>
      </c>
      <c r="I36" s="17" t="n">
        <f aca="false">H36/G36</f>
        <v>3.2180046563893</v>
      </c>
      <c r="J36" s="18" t="n">
        <f aca="false">INDEX(레벨표!$D:$D,MATCH(A36,레벨표!$A:$A,0))+$B$10*A36</f>
        <v>324</v>
      </c>
      <c r="K36" s="18" t="n">
        <f aca="false">$B$11*A36+$B$12</f>
        <v>212</v>
      </c>
      <c r="L36" s="34" t="n">
        <f aca="false">MIN(K36/(K36+상수!$B$4*A36+상수!$B$5),상수!$B$6)</f>
        <v>0.422310756972112</v>
      </c>
      <c r="M36" s="33" t="n">
        <f aca="false">$B$16*INDEX(레벨표!$C:$C,MATCH(A36,레벨표!$A:$A,0))*(1-L36)</f>
        <v>10.5211146743962</v>
      </c>
      <c r="N36" s="33" t="n">
        <f aca="false">J36/M36</f>
        <v>30.7952160989627</v>
      </c>
      <c r="O36" s="33" t="n">
        <f aca="false">N36*$B$17</f>
        <v>46.1928241484441</v>
      </c>
      <c r="P36" s="33" t="n">
        <f aca="false">$B$13</f>
        <v>2.5</v>
      </c>
      <c r="Q36" s="18" t="n">
        <f aca="false">$B$14</f>
        <v>15</v>
      </c>
    </row>
    <row r="37" customFormat="false" ht="15" hidden="false" customHeight="false" outlineLevel="0" collapsed="false">
      <c r="A37" s="11" t="n">
        <v>17</v>
      </c>
      <c r="B37" s="32" t="n">
        <f aca="false">INDEX(레벨표!$B:$B,MATCH(A37,레벨표!$A:$A,0))</f>
        <v>6.13039365036789</v>
      </c>
      <c r="C37" s="33" t="n">
        <f aca="false">$B$4*$B$5^(A37-1)</f>
        <v>34.2412119992478</v>
      </c>
      <c r="D37" s="34" t="n">
        <f aca="false">$B$8*A37</f>
        <v>0.34</v>
      </c>
      <c r="E37" s="35" t="n">
        <f aca="false">MIN(상수!$B$10+$B$9*A37,상수!$B$12)</f>
        <v>0.101</v>
      </c>
      <c r="F37" s="17" t="n">
        <f aca="false">1+E37*상수!$B$11</f>
        <v>1.0505</v>
      </c>
      <c r="G37" s="33" t="n">
        <f aca="false">C37*$B$6*(1+D37)*F37*$B$7</f>
        <v>57.8403922739773</v>
      </c>
      <c r="H37" s="18" t="n">
        <f aca="false">$B$15*B37</f>
        <v>183.911809511037</v>
      </c>
      <c r="I37" s="17" t="n">
        <f aca="false">H37/G37</f>
        <v>3.17964319190448</v>
      </c>
      <c r="J37" s="18" t="n">
        <f aca="false">INDEX(레벨표!$D:$D,MATCH(A37,레벨표!$A:$A,0))+$B$10*A37</f>
        <v>338</v>
      </c>
      <c r="K37" s="18" t="n">
        <f aca="false">$B$11*A37+$B$12</f>
        <v>224</v>
      </c>
      <c r="L37" s="34" t="n">
        <f aca="false">MIN(K37/(K37+상수!$B$4*A37+상수!$B$5),상수!$B$6)</f>
        <v>0.4234404536862</v>
      </c>
      <c r="M37" s="33" t="n">
        <f aca="false">$B$16*INDEX(레벨표!$C:$C,MATCH(A37,레벨표!$A:$A,0))*(1-L37)</f>
        <v>11.4455887875531</v>
      </c>
      <c r="N37" s="33" t="n">
        <f aca="false">J37/M37</f>
        <v>29.5310277412351</v>
      </c>
      <c r="O37" s="33" t="n">
        <f aca="false">N37*$B$17</f>
        <v>44.2965416118527</v>
      </c>
      <c r="P37" s="33" t="n">
        <f aca="false">$B$13</f>
        <v>2.5</v>
      </c>
      <c r="Q37" s="18" t="n">
        <f aca="false">$B$14</f>
        <v>15</v>
      </c>
    </row>
    <row r="38" customFormat="false" ht="15" hidden="false" customHeight="false" outlineLevel="0" collapsed="false">
      <c r="A38" s="11" t="n">
        <v>18</v>
      </c>
      <c r="B38" s="32" t="n">
        <f aca="false">INDEX(레벨표!$B:$B,MATCH(A38,레벨표!$A:$A,0))</f>
        <v>6.86604088841204</v>
      </c>
      <c r="C38" s="33" t="n">
        <f aca="false">$B$4*$B$5^(A38-1)</f>
        <v>38.1789513791613</v>
      </c>
      <c r="D38" s="34" t="n">
        <f aca="false">$B$8*A38</f>
        <v>0.36</v>
      </c>
      <c r="E38" s="35" t="n">
        <f aca="false">MIN(상수!$B$10+$B$9*A38,상수!$B$12)</f>
        <v>0.104</v>
      </c>
      <c r="F38" s="17" t="n">
        <f aca="false">1+E38*상수!$B$11</f>
        <v>1.052</v>
      </c>
      <c r="G38" s="33" t="n">
        <f aca="false">C38*$B$6*(1+D38)*F38*$B$7</f>
        <v>65.5480671806323</v>
      </c>
      <c r="H38" s="18" t="n">
        <f aca="false">$B$15*B38</f>
        <v>205.981226652361</v>
      </c>
      <c r="I38" s="17" t="n">
        <f aca="false">H38/G38</f>
        <v>3.14244546806749</v>
      </c>
      <c r="J38" s="18" t="n">
        <f aca="false">INDEX(레벨표!$D:$D,MATCH(A38,레벨표!$A:$A,0))+$B$10*A38</f>
        <v>352</v>
      </c>
      <c r="K38" s="18" t="n">
        <f aca="false">$B$11*A38+$B$12</f>
        <v>236</v>
      </c>
      <c r="L38" s="34" t="n">
        <f aca="false">MIN(K38/(K38+상수!$B$4*A38+상수!$B$5),상수!$B$6)</f>
        <v>0.424460431654676</v>
      </c>
      <c r="M38" s="33" t="n">
        <f aca="false">$B$16*INDEX(레벨표!$C:$C,MATCH(A38,레벨표!$A:$A,0))*(1-L38)</f>
        <v>12.4536213247619</v>
      </c>
      <c r="N38" s="33" t="n">
        <f aca="false">J38/M38</f>
        <v>28.2648709817528</v>
      </c>
      <c r="O38" s="33" t="n">
        <f aca="false">N38*$B$17</f>
        <v>42.3973064726293</v>
      </c>
      <c r="P38" s="33" t="n">
        <f aca="false">$B$13</f>
        <v>2.5</v>
      </c>
      <c r="Q38" s="18" t="n">
        <f aca="false">$B$14</f>
        <v>15</v>
      </c>
    </row>
    <row r="39" customFormat="false" ht="15" hidden="false" customHeight="false" outlineLevel="0" collapsed="false">
      <c r="A39" s="11" t="n">
        <v>19</v>
      </c>
      <c r="B39" s="32" t="n">
        <f aca="false">INDEX(레벨표!$B:$B,MATCH(A39,레벨표!$A:$A,0))</f>
        <v>7.68996579502149</v>
      </c>
      <c r="C39" s="33" t="n">
        <f aca="false">$B$4*$B$5^(A39-1)</f>
        <v>42.5695307877648</v>
      </c>
      <c r="D39" s="34" t="n">
        <f aca="false">$B$8*A39</f>
        <v>0.38</v>
      </c>
      <c r="E39" s="35" t="n">
        <f aca="false">MIN(상수!$B$10+$B$9*A39,상수!$B$12)</f>
        <v>0.107</v>
      </c>
      <c r="F39" s="17" t="n">
        <f aca="false">1+E39*상수!$B$11</f>
        <v>1.0535</v>
      </c>
      <c r="G39" s="33" t="n">
        <f aca="false">C39*$B$6*(1+D39)*F39*$B$7</f>
        <v>74.2666331342113</v>
      </c>
      <c r="H39" s="18" t="n">
        <f aca="false">$B$15*B39</f>
        <v>230.698973850645</v>
      </c>
      <c r="I39" s="17" t="n">
        <f aca="false">H39/G39</f>
        <v>3.10636101455866</v>
      </c>
      <c r="J39" s="18" t="n">
        <f aca="false">INDEX(레벨표!$D:$D,MATCH(A39,레벨표!$A:$A,0))+$B$10*A39</f>
        <v>366</v>
      </c>
      <c r="K39" s="18" t="n">
        <f aca="false">$B$11*A39+$B$12</f>
        <v>248</v>
      </c>
      <c r="L39" s="34" t="n">
        <f aca="false">MIN(K39/(K39+상수!$B$4*A39+상수!$B$5),상수!$B$6)</f>
        <v>0.425385934819897</v>
      </c>
      <c r="M39" s="33" t="n">
        <f aca="false">$B$16*INDEX(레벨표!$C:$C,MATCH(A39,레벨표!$A:$A,0))*(1-L39)</f>
        <v>13.5526186946058</v>
      </c>
      <c r="N39" s="33" t="n">
        <f aca="false">J39/M39</f>
        <v>27.0058509168914</v>
      </c>
      <c r="O39" s="33" t="n">
        <f aca="false">N39*$B$17</f>
        <v>40.5087763753371</v>
      </c>
      <c r="P39" s="33" t="n">
        <f aca="false">$B$13</f>
        <v>2.5</v>
      </c>
      <c r="Q39" s="18" t="n">
        <f aca="false">$B$14</f>
        <v>15</v>
      </c>
    </row>
    <row r="40" customFormat="false" ht="15" hidden="false" customHeight="false" outlineLevel="0" collapsed="false">
      <c r="A40" s="11" t="n">
        <v>20</v>
      </c>
      <c r="B40" s="32" t="n">
        <f aca="false">INDEX(레벨표!$B:$B,MATCH(A40,레벨표!$A:$A,0))</f>
        <v>8.61276169042406</v>
      </c>
      <c r="C40" s="33" t="n">
        <f aca="false">$B$4*$B$5^(A40-1)</f>
        <v>47.4650268283577</v>
      </c>
      <c r="D40" s="34" t="n">
        <f aca="false">$B$8*A40</f>
        <v>0.4</v>
      </c>
      <c r="E40" s="35" t="n">
        <f aca="false">MIN(상수!$B$10+$B$9*A40,상수!$B$12)</f>
        <v>0.11</v>
      </c>
      <c r="F40" s="17" t="n">
        <f aca="false">1+E40*상수!$B$11</f>
        <v>1.055</v>
      </c>
      <c r="G40" s="33" t="n">
        <f aca="false">C40*$B$6*(1+D40)*F40*$B$7</f>
        <v>84.1270135505813</v>
      </c>
      <c r="H40" s="18" t="n">
        <f aca="false">$B$15*B40</f>
        <v>258.382850712722</v>
      </c>
      <c r="I40" s="17" t="n">
        <f aca="false">H40/G40</f>
        <v>3.07134224558405</v>
      </c>
      <c r="J40" s="18" t="n">
        <f aca="false">INDEX(레벨표!$D:$D,MATCH(A40,레벨표!$A:$A,0))+$B$10*A40</f>
        <v>380</v>
      </c>
      <c r="K40" s="18" t="n">
        <f aca="false">$B$11*A40+$B$12</f>
        <v>260</v>
      </c>
      <c r="L40" s="34" t="n">
        <f aca="false">MIN(K40/(K40+상수!$B$4*A40+상수!$B$5),상수!$B$6)</f>
        <v>0.426229508196721</v>
      </c>
      <c r="M40" s="33" t="n">
        <f aca="false">$B$16*INDEX(레벨표!$C:$C,MATCH(A40,레벨표!$A:$A,0))*(1-L40)</f>
        <v>14.7506675343842</v>
      </c>
      <c r="N40" s="33" t="n">
        <f aca="false">J40/M40</f>
        <v>25.7615459852384</v>
      </c>
      <c r="O40" s="33" t="n">
        <f aca="false">N40*$B$17</f>
        <v>38.6423189778576</v>
      </c>
      <c r="P40" s="33" t="n">
        <f aca="false">$B$13</f>
        <v>2.5</v>
      </c>
      <c r="Q40" s="18" t="n">
        <f aca="false">$B$14</f>
        <v>15</v>
      </c>
    </row>
    <row r="41" customFormat="false" ht="15" hidden="false" customHeight="false" outlineLevel="0" collapsed="false">
      <c r="A41" s="11" t="n">
        <v>21</v>
      </c>
      <c r="B41" s="32" t="n">
        <f aca="false">INDEX(레벨표!$B:$B,MATCH(A41,레벨표!$A:$A,0))</f>
        <v>9.64629309327495</v>
      </c>
      <c r="C41" s="33" t="n">
        <f aca="false">$B$4*$B$5^(A41-1)</f>
        <v>52.9235049136189</v>
      </c>
      <c r="D41" s="34" t="n">
        <f aca="false">$B$8*A41</f>
        <v>0.42</v>
      </c>
      <c r="E41" s="35" t="n">
        <f aca="false">MIN(상수!$B$10+$B$9*A41,상수!$B$12)</f>
        <v>0.113</v>
      </c>
      <c r="F41" s="17" t="n">
        <f aca="false">1+E41*상수!$B$11</f>
        <v>1.0565</v>
      </c>
      <c r="G41" s="33" t="n">
        <f aca="false">C41*$B$6*(1+D41)*F41*$B$7</f>
        <v>95.2769157318701</v>
      </c>
      <c r="H41" s="18" t="n">
        <f aca="false">$B$15*B41</f>
        <v>289.388792798249</v>
      </c>
      <c r="I41" s="17" t="n">
        <f aca="false">H41/G41</f>
        <v>3.03734425674159</v>
      </c>
      <c r="J41" s="18" t="n">
        <f aca="false">INDEX(레벨표!$D:$D,MATCH(A41,레벨표!$A:$A,0))+$B$10*A41</f>
        <v>394</v>
      </c>
      <c r="K41" s="18" t="n">
        <f aca="false">$B$11*A41+$B$12</f>
        <v>272</v>
      </c>
      <c r="L41" s="34" t="n">
        <f aca="false">MIN(K41/(K41+상수!$B$4*A41+상수!$B$5),상수!$B$6)</f>
        <v>0.427001569858713</v>
      </c>
      <c r="M41" s="33" t="n">
        <f aca="false">$B$16*INDEX(레벨표!$C:$C,MATCH(A41,레벨표!$A:$A,0))*(1-L41)</f>
        <v>16.0565928590195</v>
      </c>
      <c r="N41" s="33" t="n">
        <f aca="false">J41/M41</f>
        <v>24.5382070442596</v>
      </c>
      <c r="O41" s="33" t="n">
        <f aca="false">N41*$B$17</f>
        <v>36.8073105663894</v>
      </c>
      <c r="P41" s="33" t="n">
        <f aca="false">$B$13</f>
        <v>2.5</v>
      </c>
      <c r="Q41" s="18" t="n">
        <f aca="false">$B$14</f>
        <v>15</v>
      </c>
    </row>
    <row r="42" customFormat="false" ht="15" hidden="false" customHeight="false" outlineLevel="0" collapsed="false">
      <c r="A42" s="11" t="n">
        <v>22</v>
      </c>
      <c r="B42" s="32" t="n">
        <f aca="false">INDEX(레벨표!$B:$B,MATCH(A42,레벨표!$A:$A,0))</f>
        <v>10.8038482644679</v>
      </c>
      <c r="C42" s="33" t="n">
        <f aca="false">$B$4*$B$5^(A42-1)</f>
        <v>59.0097079786851</v>
      </c>
      <c r="D42" s="34" t="n">
        <f aca="false">$B$8*A42</f>
        <v>0.44</v>
      </c>
      <c r="E42" s="35" t="n">
        <f aca="false">MIN(상수!$B$10+$B$9*A42,상수!$B$12)</f>
        <v>0.116</v>
      </c>
      <c r="F42" s="17" t="n">
        <f aca="false">1+E42*상수!$B$11</f>
        <v>1.058</v>
      </c>
      <c r="G42" s="33" t="n">
        <f aca="false">C42*$B$6*(1+D42)*F42*$B$7</f>
        <v>107.882964359624</v>
      </c>
      <c r="H42" s="18" t="n">
        <f aca="false">$B$15*B42</f>
        <v>324.115447934038</v>
      </c>
      <c r="I42" s="17" t="n">
        <f aca="false">H42/G42</f>
        <v>3.0043246388152</v>
      </c>
      <c r="J42" s="18" t="n">
        <f aca="false">INDEX(레벨표!$D:$D,MATCH(A42,레벨표!$A:$A,0))+$B$10*A42</f>
        <v>408</v>
      </c>
      <c r="K42" s="18" t="n">
        <f aca="false">$B$11*A42+$B$12</f>
        <v>284</v>
      </c>
      <c r="L42" s="34" t="n">
        <f aca="false">MIN(K42/(K42+상수!$B$4*A42+상수!$B$5),상수!$B$6)</f>
        <v>0.427710843373494</v>
      </c>
      <c r="M42" s="33" t="n">
        <f aca="false">$B$16*INDEX(레벨표!$C:$C,MATCH(A42,레벨표!$A:$A,0))*(1-L42)</f>
        <v>17.4800221386579</v>
      </c>
      <c r="N42" s="33" t="n">
        <f aca="false">J42/M42</f>
        <v>23.3409315367907</v>
      </c>
      <c r="O42" s="33" t="n">
        <f aca="false">N42*$B$17</f>
        <v>35.011397305186</v>
      </c>
      <c r="P42" s="33" t="n">
        <f aca="false">$B$13</f>
        <v>2.5</v>
      </c>
      <c r="Q42" s="18" t="n">
        <f aca="false">$B$14</f>
        <v>15</v>
      </c>
    </row>
    <row r="43" customFormat="false" ht="15" hidden="false" customHeight="false" outlineLevel="0" collapsed="false">
      <c r="A43" s="11" t="n">
        <v>23</v>
      </c>
      <c r="B43" s="32" t="n">
        <f aca="false">INDEX(레벨표!$B:$B,MATCH(A43,레벨표!$A:$A,0))</f>
        <v>12.1003100562041</v>
      </c>
      <c r="C43" s="33" t="n">
        <f aca="false">$B$4*$B$5^(A43-1)</f>
        <v>65.7958243962338</v>
      </c>
      <c r="D43" s="34" t="n">
        <f aca="false">$B$8*A43</f>
        <v>0.46</v>
      </c>
      <c r="E43" s="35" t="n">
        <f aca="false">MIN(상수!$B$10+$B$9*A43,상수!$B$12)</f>
        <v>0.119</v>
      </c>
      <c r="F43" s="17" t="n">
        <f aca="false">1+E43*상수!$B$11</f>
        <v>1.0595</v>
      </c>
      <c r="G43" s="33" t="n">
        <f aca="false">C43*$B$6*(1+D43)*F43*$B$7</f>
        <v>122.133104260563</v>
      </c>
      <c r="H43" s="18" t="n">
        <f aca="false">$B$15*B43</f>
        <v>363.009301686123</v>
      </c>
      <c r="I43" s="17" t="n">
        <f aca="false">H43/G43</f>
        <v>2.97224330687336</v>
      </c>
      <c r="J43" s="18" t="n">
        <f aca="false">INDEX(레벨표!$D:$D,MATCH(A43,레벨표!$A:$A,0))+$B$10*A43</f>
        <v>422</v>
      </c>
      <c r="K43" s="18" t="n">
        <f aca="false">$B$11*A43+$B$12</f>
        <v>296</v>
      </c>
      <c r="L43" s="34" t="n">
        <f aca="false">MIN(K43/(K43+상수!$B$4*A43+상수!$B$5),상수!$B$6)</f>
        <v>0.428364688856729</v>
      </c>
      <c r="M43" s="33" t="n">
        <f aca="false">$B$16*INDEX(레벨표!$C:$C,MATCH(A43,레벨표!$A:$A,0))*(1-L43)</f>
        <v>19.0314556520476</v>
      </c>
      <c r="N43" s="33" t="n">
        <f aca="false">J43/M43</f>
        <v>22.1738162185507</v>
      </c>
      <c r="O43" s="33" t="n">
        <f aca="false">N43*$B$17</f>
        <v>33.260724327826</v>
      </c>
      <c r="P43" s="33" t="n">
        <f aca="false">$B$13</f>
        <v>2.5</v>
      </c>
      <c r="Q43" s="18" t="n">
        <f aca="false">$B$14</f>
        <v>15</v>
      </c>
    </row>
    <row r="44" customFormat="false" ht="15" hidden="false" customHeight="false" outlineLevel="0" collapsed="false">
      <c r="A44" s="11" t="n">
        <v>24</v>
      </c>
      <c r="B44" s="32" t="n">
        <f aca="false">INDEX(레벨표!$B:$B,MATCH(A44,레벨표!$A:$A,0))</f>
        <v>13.5523472629486</v>
      </c>
      <c r="C44" s="33" t="n">
        <f aca="false">$B$4*$B$5^(A44-1)</f>
        <v>73.3623442018007</v>
      </c>
      <c r="D44" s="34" t="n">
        <f aca="false">$B$8*A44</f>
        <v>0.48</v>
      </c>
      <c r="E44" s="35" t="n">
        <f aca="false">MIN(상수!$B$10+$B$9*A44,상수!$B$12)</f>
        <v>0.122</v>
      </c>
      <c r="F44" s="17" t="n">
        <f aca="false">1+E44*상수!$B$11</f>
        <v>1.061</v>
      </c>
      <c r="G44" s="33" t="n">
        <f aca="false">C44*$B$6*(1+D44)*F44*$B$7</f>
        <v>138.239306223844</v>
      </c>
      <c r="H44" s="18" t="n">
        <f aca="false">$B$15*B44</f>
        <v>406.570417888458</v>
      </c>
      <c r="I44" s="17" t="n">
        <f aca="false">H44/G44</f>
        <v>2.94106234322471</v>
      </c>
      <c r="J44" s="18" t="n">
        <f aca="false">INDEX(레벨표!$D:$D,MATCH(A44,레벨표!$A:$A,0))+$B$10*A44</f>
        <v>436</v>
      </c>
      <c r="K44" s="18" t="n">
        <f aca="false">$B$11*A44+$B$12</f>
        <v>308</v>
      </c>
      <c r="L44" s="34" t="n">
        <f aca="false">MIN(K44/(K44+상수!$B$4*A44+상수!$B$5),상수!$B$6)</f>
        <v>0.428969359331476</v>
      </c>
      <c r="M44" s="33" t="n">
        <f aca="false">$B$16*INDEX(레벨표!$C:$C,MATCH(A44,레벨표!$A:$A,0))*(1-L44)</f>
        <v>20.7223435487181</v>
      </c>
      <c r="N44" s="33" t="n">
        <f aca="false">J44/M44</f>
        <v>21.040091289625</v>
      </c>
      <c r="O44" s="33" t="n">
        <f aca="false">N44*$B$17</f>
        <v>31.5601369344375</v>
      </c>
      <c r="P44" s="33" t="n">
        <f aca="false">$B$13</f>
        <v>2.5</v>
      </c>
      <c r="Q44" s="18" t="n">
        <f aca="false">$B$14</f>
        <v>15</v>
      </c>
    </row>
    <row r="45" customFormat="false" ht="15" hidden="false" customHeight="false" outlineLevel="0" collapsed="false">
      <c r="A45" s="11" t="n">
        <v>25</v>
      </c>
      <c r="B45" s="32" t="n">
        <f aca="false">INDEX(레벨표!$B:$B,MATCH(A45,레벨표!$A:$A,0))</f>
        <v>15.1786289345024</v>
      </c>
      <c r="C45" s="33" t="n">
        <f aca="false">$B$4*$B$5^(A45-1)</f>
        <v>81.7990137850078</v>
      </c>
      <c r="D45" s="34" t="n">
        <f aca="false">$B$8*A45</f>
        <v>0.5</v>
      </c>
      <c r="E45" s="35" t="n">
        <f aca="false">MIN(상수!$B$10+$B$9*A45,상수!$B$12)</f>
        <v>0.125</v>
      </c>
      <c r="F45" s="17" t="n">
        <f aca="false">1+E45*상수!$B$11</f>
        <v>1.0625</v>
      </c>
      <c r="G45" s="33" t="n">
        <f aca="false">C45*$B$6*(1+D45)*F45*$B$7</f>
        <v>156.440613863827</v>
      </c>
      <c r="H45" s="18" t="n">
        <f aca="false">$B$15*B45</f>
        <v>455.358868035073</v>
      </c>
      <c r="I45" s="17" t="n">
        <f aca="false">H45/G45</f>
        <v>2.91074585293712</v>
      </c>
      <c r="J45" s="18" t="n">
        <f aca="false">INDEX(레벨표!$D:$D,MATCH(A45,레벨표!$A:$A,0))+$B$10*A45</f>
        <v>450</v>
      </c>
      <c r="K45" s="18" t="n">
        <f aca="false">$B$11*A45+$B$12</f>
        <v>320</v>
      </c>
      <c r="L45" s="34" t="n">
        <f aca="false">MIN(K45/(K45+상수!$B$4*A45+상수!$B$5),상수!$B$6)</f>
        <v>0.429530201342282</v>
      </c>
      <c r="M45" s="33" t="n">
        <f aca="false">$B$16*INDEX(레벨표!$C:$C,MATCH(A45,레벨표!$A:$A,0))*(1-L45)</f>
        <v>22.565170129126</v>
      </c>
      <c r="N45" s="33" t="n">
        <f aca="false">J45/M45</f>
        <v>19.9422383002183</v>
      </c>
      <c r="O45" s="33" t="n">
        <f aca="false">N45*$B$17</f>
        <v>29.9133574503275</v>
      </c>
      <c r="P45" s="33" t="n">
        <f aca="false">$B$13</f>
        <v>2.5</v>
      </c>
      <c r="Q45" s="18" t="n">
        <f aca="false">$B$14</f>
        <v>15</v>
      </c>
    </row>
    <row r="46" customFormat="false" ht="15" hidden="false" customHeight="false" outlineLevel="0" collapsed="false">
      <c r="A46" s="11" t="n">
        <v>26</v>
      </c>
      <c r="B46" s="32" t="n">
        <f aca="false">INDEX(레벨표!$B:$B,MATCH(A46,레벨표!$A:$A,0))</f>
        <v>17.0000644066427</v>
      </c>
      <c r="C46" s="33" t="n">
        <f aca="false">$B$4*$B$5^(A46-1)</f>
        <v>91.2059003702837</v>
      </c>
      <c r="D46" s="34" t="n">
        <f aca="false">$B$8*A46</f>
        <v>0.52</v>
      </c>
      <c r="E46" s="35" t="n">
        <f aca="false">MIN(상수!$B$10+$B$9*A46,상수!$B$12)</f>
        <v>0.128</v>
      </c>
      <c r="F46" s="17" t="n">
        <f aca="false">1+E46*상수!$B$11</f>
        <v>1.064</v>
      </c>
      <c r="G46" s="33" t="n">
        <f aca="false">C46*$B$6*(1+D46)*F46*$B$7</f>
        <v>177.006574261023</v>
      </c>
      <c r="H46" s="18" t="n">
        <f aca="false">$B$15*B46</f>
        <v>510.001932199282</v>
      </c>
      <c r="I46" s="17" t="n">
        <f aca="false">H46/G46</f>
        <v>2.88125983076316</v>
      </c>
      <c r="J46" s="18" t="n">
        <f aca="false">INDEX(레벨표!$D:$D,MATCH(A46,레벨표!$A:$A,0))+$B$10*A46</f>
        <v>464</v>
      </c>
      <c r="K46" s="18" t="n">
        <f aca="false">$B$11*A46+$B$12</f>
        <v>332</v>
      </c>
      <c r="L46" s="34" t="n">
        <f aca="false">MIN(K46/(K46+상수!$B$4*A46+상수!$B$5),상수!$B$6)</f>
        <v>0.430051813471503</v>
      </c>
      <c r="M46" s="33" t="n">
        <f aca="false">$B$16*INDEX(레벨표!$C:$C,MATCH(A46,레벨표!$A:$A,0))*(1-L46)</f>
        <v>24.5735459234288</v>
      </c>
      <c r="N46" s="33" t="n">
        <f aca="false">J46/M46</f>
        <v>18.8820938356159</v>
      </c>
      <c r="O46" s="33" t="n">
        <f aca="false">N46*$B$17</f>
        <v>28.3231407534239</v>
      </c>
      <c r="P46" s="33" t="n">
        <f aca="false">$B$13</f>
        <v>2.5</v>
      </c>
      <c r="Q46" s="18" t="n">
        <f aca="false">$B$14</f>
        <v>15</v>
      </c>
    </row>
    <row r="47" customFormat="false" ht="15" hidden="false" customHeight="false" outlineLevel="0" collapsed="false">
      <c r="A47" s="11" t="n">
        <v>27</v>
      </c>
      <c r="B47" s="32" t="n">
        <f aca="false">INDEX(레벨표!$B:$B,MATCH(A47,레벨표!$A:$A,0))</f>
        <v>19.0400721354399</v>
      </c>
      <c r="C47" s="33" t="n">
        <f aca="false">$B$4*$B$5^(A47-1)</f>
        <v>101.694578912866</v>
      </c>
      <c r="D47" s="34" t="n">
        <f aca="false">$B$8*A47</f>
        <v>0.54</v>
      </c>
      <c r="E47" s="35" t="n">
        <f aca="false">MIN(상수!$B$10+$B$9*A47,상수!$B$12)</f>
        <v>0.131</v>
      </c>
      <c r="F47" s="17" t="n">
        <f aca="false">1+E47*상수!$B$11</f>
        <v>1.0655</v>
      </c>
      <c r="G47" s="33" t="n">
        <f aca="false">C47*$B$6*(1+D47)*F47*$B$7</f>
        <v>200.241100440906</v>
      </c>
      <c r="H47" s="18" t="n">
        <f aca="false">$B$15*B47</f>
        <v>571.202164063196</v>
      </c>
      <c r="I47" s="17" t="n">
        <f aca="false">H47/G47</f>
        <v>2.85257203843506</v>
      </c>
      <c r="J47" s="18" t="n">
        <f aca="false">INDEX(레벨표!$D:$D,MATCH(A47,레벨표!$A:$A,0))+$B$10*A47</f>
        <v>478</v>
      </c>
      <c r="K47" s="18" t="n">
        <f aca="false">$B$11*A47+$B$12</f>
        <v>344</v>
      </c>
      <c r="L47" s="34" t="n">
        <f aca="false">MIN(K47/(K47+상수!$B$4*A47+상수!$B$5),상수!$B$6)</f>
        <v>0.430538172715895</v>
      </c>
      <c r="M47" s="33" t="n">
        <f aca="false">$B$16*INDEX(레벨표!$C:$C,MATCH(A47,레벨표!$A:$A,0))*(1-L47)</f>
        <v>26.7623082198183</v>
      </c>
      <c r="N47" s="33" t="n">
        <f aca="false">J47/M47</f>
        <v>17.860940695916</v>
      </c>
      <c r="O47" s="33" t="n">
        <f aca="false">N47*$B$17</f>
        <v>26.791411043874</v>
      </c>
      <c r="P47" s="33" t="n">
        <f aca="false">$B$13</f>
        <v>2.5</v>
      </c>
      <c r="Q47" s="18" t="n">
        <f aca="false">$B$14</f>
        <v>15</v>
      </c>
    </row>
    <row r="48" customFormat="false" ht="15" hidden="false" customHeight="false" outlineLevel="0" collapsed="false">
      <c r="A48" s="11" t="n">
        <v>28</v>
      </c>
      <c r="B48" s="32" t="n">
        <f aca="false">INDEX(레벨표!$B:$B,MATCH(A48,레벨표!$A:$A,0))</f>
        <v>21.3248807916926</v>
      </c>
      <c r="C48" s="33" t="n">
        <f aca="false">$B$4*$B$5^(A48-1)</f>
        <v>113.389455487846</v>
      </c>
      <c r="D48" s="34" t="n">
        <f aca="false">$B$8*A48</f>
        <v>0.56</v>
      </c>
      <c r="E48" s="35" t="n">
        <f aca="false">MIN(상수!$B$10+$B$9*A48,상수!$B$12)</f>
        <v>0.134</v>
      </c>
      <c r="F48" s="17" t="n">
        <f aca="false">1+E48*상수!$B$11</f>
        <v>1.067</v>
      </c>
      <c r="G48" s="33" t="n">
        <f aca="false">C48*$B$6*(1+D48)*F48*$B$7</f>
        <v>226.486819738355</v>
      </c>
      <c r="H48" s="18" t="n">
        <f aca="false">$B$15*B48</f>
        <v>639.746423750779</v>
      </c>
      <c r="I48" s="17" t="n">
        <f aca="false">H48/G48</f>
        <v>2.82465189139851</v>
      </c>
      <c r="J48" s="18" t="n">
        <f aca="false">INDEX(레벨표!$D:$D,MATCH(A48,레벨표!$A:$A,0))+$B$10*A48</f>
        <v>492</v>
      </c>
      <c r="K48" s="18" t="n">
        <f aca="false">$B$11*A48+$B$12</f>
        <v>356</v>
      </c>
      <c r="L48" s="34" t="n">
        <f aca="false">MIN(K48/(K48+상수!$B$4*A48+상수!$B$5),상수!$B$6)</f>
        <v>0.430992736077482</v>
      </c>
      <c r="M48" s="33" t="n">
        <f aca="false">$B$16*INDEX(레벨표!$C:$C,MATCH(A48,레벨표!$A:$A,0))*(1-L48)</f>
        <v>29.1476307647323</v>
      </c>
      <c r="N48" s="33" t="n">
        <f aca="false">J48/M48</f>
        <v>16.8795880519835</v>
      </c>
      <c r="O48" s="33" t="n">
        <f aca="false">N48*$B$17</f>
        <v>25.3193820779752</v>
      </c>
      <c r="P48" s="33" t="n">
        <f aca="false">$B$13</f>
        <v>2.5</v>
      </c>
      <c r="Q48" s="18" t="n">
        <f aca="false">$B$14</f>
        <v>15</v>
      </c>
    </row>
    <row r="49" customFormat="false" ht="15" hidden="false" customHeight="false" outlineLevel="0" collapsed="false">
      <c r="A49" s="11" t="n">
        <v>29</v>
      </c>
      <c r="B49" s="32" t="n">
        <f aca="false">INDEX(레벨표!$B:$B,MATCH(A49,레벨표!$A:$A,0))</f>
        <v>23.8838664866958</v>
      </c>
      <c r="C49" s="33" t="n">
        <f aca="false">$B$4*$B$5^(A49-1)</f>
        <v>126.429242868948</v>
      </c>
      <c r="D49" s="34" t="n">
        <f aca="false">$B$8*A49</f>
        <v>0.58</v>
      </c>
      <c r="E49" s="35" t="n">
        <f aca="false">MIN(상수!$B$10+$B$9*A49,상수!$B$12)</f>
        <v>0.137</v>
      </c>
      <c r="F49" s="17" t="n">
        <f aca="false">1+E49*상수!$B$11</f>
        <v>1.0685</v>
      </c>
      <c r="G49" s="33" t="n">
        <f aca="false">C49*$B$6*(1+D49)*F49*$B$7</f>
        <v>256.129968826373</v>
      </c>
      <c r="H49" s="18" t="n">
        <f aca="false">$B$15*B49</f>
        <v>716.515994600873</v>
      </c>
      <c r="I49" s="17" t="n">
        <f aca="false">H49/G49</f>
        <v>2.79747035414894</v>
      </c>
      <c r="J49" s="18" t="n">
        <f aca="false">INDEX(레벨표!$D:$D,MATCH(A49,레벨표!$A:$A,0))+$B$10*A49</f>
        <v>506</v>
      </c>
      <c r="K49" s="18" t="n">
        <f aca="false">$B$11*A49+$B$12</f>
        <v>368</v>
      </c>
      <c r="L49" s="34" t="n">
        <f aca="false">MIN(K49/(K49+상수!$B$4*A49+상수!$B$5),상수!$B$6)</f>
        <v>0.431418522860492</v>
      </c>
      <c r="M49" s="33" t="n">
        <f aca="false">$B$16*INDEX(레벨표!$C:$C,MATCH(A49,레벨표!$A:$A,0))*(1-L49)</f>
        <v>31.7471434314902</v>
      </c>
      <c r="N49" s="33" t="n">
        <f aca="false">J49/M49</f>
        <v>15.9384418661773</v>
      </c>
      <c r="O49" s="33" t="n">
        <f aca="false">N49*$B$17</f>
        <v>23.907662799266</v>
      </c>
      <c r="P49" s="33" t="n">
        <f aca="false">$B$13</f>
        <v>2.5</v>
      </c>
      <c r="Q49" s="18" t="n">
        <f aca="false">$B$14</f>
        <v>15</v>
      </c>
    </row>
    <row r="50" customFormat="false" ht="15" hidden="false" customHeight="false" outlineLevel="0" collapsed="false">
      <c r="A50" s="11" t="n">
        <v>30</v>
      </c>
      <c r="B50" s="32" t="n">
        <f aca="false">INDEX(레벨표!$B:$B,MATCH(A50,레벨표!$A:$A,0))</f>
        <v>26.7499304650992</v>
      </c>
      <c r="C50" s="33" t="n">
        <f aca="false">$B$4*$B$5^(A50-1)</f>
        <v>140.968605798877</v>
      </c>
      <c r="D50" s="34" t="n">
        <f aca="false">$B$8*A50</f>
        <v>0.6</v>
      </c>
      <c r="E50" s="35" t="n">
        <f aca="false">MIN(상수!$B$10+$B$9*A50,상수!$B$12)</f>
        <v>0.14</v>
      </c>
      <c r="F50" s="17" t="n">
        <f aca="false">1+E50*상수!$B$11</f>
        <v>1.07</v>
      </c>
      <c r="G50" s="33" t="n">
        <f aca="false">C50*$B$6*(1+D50)*F50*$B$7</f>
        <v>289.605903753214</v>
      </c>
      <c r="H50" s="18" t="n">
        <f aca="false">$B$15*B50</f>
        <v>802.497913952978</v>
      </c>
      <c r="I50" s="17" t="n">
        <f aca="false">H50/G50</f>
        <v>2.77099984341764</v>
      </c>
      <c r="J50" s="18" t="n">
        <f aca="false">INDEX(레벨표!$D:$D,MATCH(A50,레벨표!$A:$A,0))+$B$10*A50</f>
        <v>520</v>
      </c>
      <c r="K50" s="18" t="n">
        <f aca="false">$B$11*A50+$B$12</f>
        <v>380</v>
      </c>
      <c r="L50" s="34" t="n">
        <f aca="false">MIN(K50/(K50+상수!$B$4*A50+상수!$B$5),상수!$B$6)</f>
        <v>0.431818181818182</v>
      </c>
      <c r="M50" s="33" t="n">
        <f aca="false">$B$16*INDEX(레벨표!$C:$C,MATCH(A50,레벨표!$A:$A,0))*(1-L50)</f>
        <v>34.5800627323063</v>
      </c>
      <c r="N50" s="33" t="n">
        <f aca="false">J50/M50</f>
        <v>15.0375667049959</v>
      </c>
      <c r="O50" s="33" t="n">
        <f aca="false">N50*$B$17</f>
        <v>22.5563500574939</v>
      </c>
      <c r="P50" s="33" t="n">
        <f aca="false">$B$13</f>
        <v>2.5</v>
      </c>
      <c r="Q50" s="18" t="n">
        <f aca="false">$B$14</f>
        <v>15</v>
      </c>
    </row>
    <row r="51" customFormat="false" ht="15" hidden="false" customHeight="false" outlineLevel="0" collapsed="false">
      <c r="A51" s="11" t="n">
        <v>31</v>
      </c>
      <c r="B51" s="32" t="n">
        <f aca="false">INDEX(레벨표!$B:$B,MATCH(A51,레벨표!$A:$A,0))</f>
        <v>29.9599221209112</v>
      </c>
      <c r="C51" s="33" t="n">
        <f aca="false">$B$4*$B$5^(A51-1)</f>
        <v>157.179995465748</v>
      </c>
      <c r="D51" s="34" t="n">
        <f aca="false">$B$8*A51</f>
        <v>0.62</v>
      </c>
      <c r="E51" s="35" t="n">
        <f aca="false">MIN(상수!$B$10+$B$9*A51,상수!$B$12)</f>
        <v>0.143</v>
      </c>
      <c r="F51" s="17" t="n">
        <f aca="false">1+E51*상수!$B$11</f>
        <v>1.0715</v>
      </c>
      <c r="G51" s="33" t="n">
        <f aca="false">C51*$B$6*(1+D51)*F51*$B$7</f>
        <v>327.405301835172</v>
      </c>
      <c r="H51" s="18" t="n">
        <f aca="false">$B$15*B51</f>
        <v>898.797663627335</v>
      </c>
      <c r="I51" s="17" t="n">
        <f aca="false">H51/G51</f>
        <v>2.7452141385292</v>
      </c>
      <c r="J51" s="18" t="n">
        <f aca="false">INDEX(레벨표!$D:$D,MATCH(A51,레벨표!$A:$A,0))+$B$10*A51</f>
        <v>534</v>
      </c>
      <c r="K51" s="18" t="n">
        <f aca="false">$B$11*A51+$B$12</f>
        <v>392</v>
      </c>
      <c r="L51" s="34" t="n">
        <f aca="false">MIN(K51/(K51+상수!$B$4*A51+상수!$B$5),상수!$B$6)</f>
        <v>0.432194046306505</v>
      </c>
      <c r="M51" s="33" t="n">
        <f aca="false">$B$16*INDEX(레벨표!$C:$C,MATCH(A51,레벨표!$A:$A,0))*(1-L51)</f>
        <v>37.6673341323187</v>
      </c>
      <c r="N51" s="33" t="n">
        <f aca="false">J51/M51</f>
        <v>14.1767399339744</v>
      </c>
      <c r="O51" s="33" t="n">
        <f aca="false">N51*$B$17</f>
        <v>21.2651099009616</v>
      </c>
      <c r="P51" s="33" t="n">
        <f aca="false">$B$13</f>
        <v>2.5</v>
      </c>
      <c r="Q51" s="18" t="n">
        <f aca="false">$B$14</f>
        <v>15</v>
      </c>
    </row>
    <row r="52" customFormat="false" ht="15" hidden="false" customHeight="false" outlineLevel="0" collapsed="false">
      <c r="A52" s="11" t="n">
        <v>32</v>
      </c>
      <c r="B52" s="32" t="n">
        <f aca="false">INDEX(레벨표!$B:$B,MATCH(A52,레벨표!$A:$A,0))</f>
        <v>33.5551127754205</v>
      </c>
      <c r="C52" s="33" t="n">
        <f aca="false">$B$4*$B$5^(A52-1)</f>
        <v>175.255694944309</v>
      </c>
      <c r="D52" s="34" t="n">
        <f aca="false">$B$8*A52</f>
        <v>0.64</v>
      </c>
      <c r="E52" s="35" t="n">
        <f aca="false">MIN(상수!$B$10+$B$9*A52,상수!$B$12)</f>
        <v>0.146</v>
      </c>
      <c r="F52" s="17" t="n">
        <f aca="false">1+E52*상수!$B$11</f>
        <v>1.073</v>
      </c>
      <c r="G52" s="33" t="n">
        <f aca="false">C52*$B$6*(1+D52)*F52*$B$7</f>
        <v>370.08114180888</v>
      </c>
      <c r="H52" s="18" t="n">
        <f aca="false">$B$15*B52</f>
        <v>1006.65338326262</v>
      </c>
      <c r="I52" s="17" t="n">
        <f aca="false">H52/G52</f>
        <v>2.72008829831832</v>
      </c>
      <c r="J52" s="18" t="n">
        <f aca="false">INDEX(레벨표!$D:$D,MATCH(A52,레벨표!$A:$A,0))+$B$10*A52</f>
        <v>548</v>
      </c>
      <c r="K52" s="18" t="n">
        <f aca="false">$B$11*A52+$B$12</f>
        <v>404</v>
      </c>
      <c r="L52" s="34" t="n">
        <f aca="false">MIN(K52/(K52+상수!$B$4*A52+상수!$B$5),상수!$B$6)</f>
        <v>0.43254817987152</v>
      </c>
      <c r="M52" s="33" t="n">
        <f aca="false">$B$16*INDEX(레벨표!$C:$C,MATCH(A52,레벨표!$A:$A,0))*(1-L52)</f>
        <v>41.0317872142245</v>
      </c>
      <c r="N52" s="33" t="n">
        <f aca="false">J52/M52</f>
        <v>13.3554991679725</v>
      </c>
      <c r="O52" s="33" t="n">
        <f aca="false">N52*$B$17</f>
        <v>20.0332487519587</v>
      </c>
      <c r="P52" s="33" t="n">
        <f aca="false">$B$13</f>
        <v>2.5</v>
      </c>
      <c r="Q52" s="18" t="n">
        <f aca="false">$B$14</f>
        <v>15</v>
      </c>
    </row>
    <row r="53" customFormat="false" ht="15" hidden="false" customHeight="false" outlineLevel="0" collapsed="false">
      <c r="A53" s="11" t="n">
        <v>33</v>
      </c>
      <c r="B53" s="32" t="n">
        <f aca="false">INDEX(레벨표!$B:$B,MATCH(A53,레벨표!$A:$A,0))</f>
        <v>37.581726308471</v>
      </c>
      <c r="C53" s="33" t="n">
        <f aca="false">$B$4*$B$5^(A53-1)</f>
        <v>195.410099862905</v>
      </c>
      <c r="D53" s="34" t="n">
        <f aca="false">$B$8*A53</f>
        <v>0.66</v>
      </c>
      <c r="E53" s="35" t="n">
        <f aca="false">MIN(상수!$B$10+$B$9*A53,상수!$B$12)</f>
        <v>0.149</v>
      </c>
      <c r="F53" s="17" t="n">
        <f aca="false">1+E53*상수!$B$11</f>
        <v>1.0745</v>
      </c>
      <c r="G53" s="33" t="n">
        <f aca="false">C53*$B$6*(1+D53)*F53*$B$7</f>
        <v>418.256559386961</v>
      </c>
      <c r="H53" s="18" t="n">
        <f aca="false">$B$15*B53</f>
        <v>1127.45178925413</v>
      </c>
      <c r="I53" s="17" t="n">
        <f aca="false">H53/G53</f>
        <v>2.69559858405242</v>
      </c>
      <c r="J53" s="18" t="n">
        <f aca="false">INDEX(레벨표!$D:$D,MATCH(A53,레벨표!$A:$A,0))+$B$10*A53</f>
        <v>562</v>
      </c>
      <c r="K53" s="18" t="n">
        <f aca="false">$B$11*A53+$B$12</f>
        <v>416</v>
      </c>
      <c r="L53" s="34" t="n">
        <f aca="false">MIN(K53/(K53+상수!$B$4*A53+상수!$B$5),상수!$B$6)</f>
        <v>0.432882414151925</v>
      </c>
      <c r="M53" s="33" t="n">
        <f aca="false">$B$16*INDEX(레벨표!$C:$C,MATCH(A53,레벨표!$A:$A,0))*(1-L53)</f>
        <v>44.6983048392316</v>
      </c>
      <c r="N53" s="33" t="n">
        <f aca="false">J53/M53</f>
        <v>12.5731837487209</v>
      </c>
      <c r="O53" s="33" t="n">
        <f aca="false">N53*$B$17</f>
        <v>18.8597756230814</v>
      </c>
      <c r="P53" s="33" t="n">
        <f aca="false">$B$13</f>
        <v>2.5</v>
      </c>
      <c r="Q53" s="18" t="n">
        <f aca="false">$B$14</f>
        <v>15</v>
      </c>
    </row>
    <row r="54" customFormat="false" ht="15" hidden="false" customHeight="false" outlineLevel="0" collapsed="false">
      <c r="A54" s="11" t="n">
        <v>34</v>
      </c>
      <c r="B54" s="32" t="n">
        <f aca="false">INDEX(레벨표!$B:$B,MATCH(A54,레벨표!$A:$A,0))</f>
        <v>42.0915334654875</v>
      </c>
      <c r="C54" s="33" t="n">
        <f aca="false">$B$4*$B$5^(A54-1)</f>
        <v>217.882261347139</v>
      </c>
      <c r="D54" s="34" t="n">
        <f aca="false">$B$8*A54</f>
        <v>0.68</v>
      </c>
      <c r="E54" s="35" t="n">
        <f aca="false">MIN(상수!$B$10+$B$9*A54,상수!$B$12)</f>
        <v>0.152</v>
      </c>
      <c r="F54" s="17" t="n">
        <f aca="false">1+E54*상수!$B$11</f>
        <v>1.076</v>
      </c>
      <c r="G54" s="33" t="n">
        <f aca="false">C54*$B$6*(1+D54)*F54*$B$7</f>
        <v>472.633687430395</v>
      </c>
      <c r="H54" s="18" t="n">
        <f aca="false">$B$15*B54</f>
        <v>1262.74600396462</v>
      </c>
      <c r="I54" s="17" t="n">
        <f aca="false">H54/G54</f>
        <v>2.67172238786003</v>
      </c>
      <c r="J54" s="18" t="n">
        <f aca="false">INDEX(레벨표!$D:$D,MATCH(A54,레벨표!$A:$A,0))+$B$10*A54</f>
        <v>576</v>
      </c>
      <c r="K54" s="18" t="n">
        <f aca="false">$B$11*A54+$B$12</f>
        <v>428</v>
      </c>
      <c r="L54" s="34" t="n">
        <f aca="false">MIN(K54/(K54+상수!$B$4*A54+상수!$B$5),상수!$B$6)</f>
        <v>0.433198380566802</v>
      </c>
      <c r="M54" s="33" t="n">
        <f aca="false">$B$16*INDEX(레벨표!$C:$C,MATCH(A54,레벨표!$A:$A,0))*(1-L54)</f>
        <v>48.6940075552244</v>
      </c>
      <c r="N54" s="33" t="n">
        <f aca="false">J54/M54</f>
        <v>11.828970933369</v>
      </c>
      <c r="O54" s="33" t="n">
        <f aca="false">N54*$B$17</f>
        <v>17.7434564000535</v>
      </c>
      <c r="P54" s="33" t="n">
        <f aca="false">$B$13</f>
        <v>2.5</v>
      </c>
      <c r="Q54" s="18" t="n">
        <f aca="false">$B$14</f>
        <v>15</v>
      </c>
    </row>
    <row r="55" customFormat="false" ht="15" hidden="false" customHeight="false" outlineLevel="0" collapsed="false">
      <c r="A55" s="11" t="n">
        <v>35</v>
      </c>
      <c r="B55" s="32" t="n">
        <f aca="false">INDEX(레벨표!$B:$B,MATCH(A55,레벨표!$A:$A,0))</f>
        <v>47.142517481346</v>
      </c>
      <c r="C55" s="33" t="n">
        <f aca="false">$B$4*$B$5^(A55-1)</f>
        <v>242.93872140206</v>
      </c>
      <c r="D55" s="34" t="n">
        <f aca="false">$B$8*A55</f>
        <v>0.7</v>
      </c>
      <c r="E55" s="35" t="n">
        <f aca="false">MIN(상수!$B$10+$B$9*A55,상수!$B$12)</f>
        <v>0.155</v>
      </c>
      <c r="F55" s="17" t="n">
        <f aca="false">1+E55*상수!$B$11</f>
        <v>1.0775</v>
      </c>
      <c r="G55" s="33" t="n">
        <f aca="false">C55*$B$6*(1+D55)*F55*$B$7</f>
        <v>534.003603513868</v>
      </c>
      <c r="H55" s="18" t="n">
        <f aca="false">$B$15*B55</f>
        <v>1414.27552444038</v>
      </c>
      <c r="I55" s="17" t="n">
        <f aca="false">H55/G55</f>
        <v>2.64843816621109</v>
      </c>
      <c r="J55" s="18" t="n">
        <f aca="false">INDEX(레벨표!$D:$D,MATCH(A55,레벨표!$A:$A,0))+$B$10*A55</f>
        <v>590</v>
      </c>
      <c r="K55" s="18" t="n">
        <f aca="false">$B$11*A55+$B$12</f>
        <v>440</v>
      </c>
      <c r="L55" s="34" t="n">
        <f aca="false">MIN(K55/(K55+상수!$B$4*A55+상수!$B$5),상수!$B$6)</f>
        <v>0.433497536945813</v>
      </c>
      <c r="M55" s="33" t="n">
        <f aca="false">$B$16*INDEX(레벨표!$C:$C,MATCH(A55,레벨표!$A:$A,0))*(1-L55)</f>
        <v>53.0484546171957</v>
      </c>
      <c r="N55" s="33" t="n">
        <f aca="false">J55/M55</f>
        <v>11.1219074006493</v>
      </c>
      <c r="O55" s="33" t="n">
        <f aca="false">N55*$B$17</f>
        <v>16.682861100974</v>
      </c>
      <c r="P55" s="33" t="n">
        <f aca="false">$B$13</f>
        <v>2.5</v>
      </c>
      <c r="Q55" s="18" t="n">
        <f aca="false">$B$14</f>
        <v>15</v>
      </c>
    </row>
    <row r="56" customFormat="false" ht="15" hidden="false" customHeight="false" outlineLevel="0" collapsed="false">
      <c r="A56" s="11" t="n">
        <v>36</v>
      </c>
      <c r="B56" s="32" t="n">
        <f aca="false">INDEX(레벨표!$B:$B,MATCH(A56,레벨표!$A:$A,0))</f>
        <v>52.7996195791075</v>
      </c>
      <c r="C56" s="33" t="n">
        <f aca="false">$B$4*$B$5^(A56-1)</f>
        <v>270.876674363297</v>
      </c>
      <c r="D56" s="34" t="n">
        <f aca="false">$B$8*A56</f>
        <v>0.72</v>
      </c>
      <c r="E56" s="35" t="n">
        <f aca="false">MIN(상수!$B$10+$B$9*A56,상수!$B$12)</f>
        <v>0.158</v>
      </c>
      <c r="F56" s="17" t="n">
        <f aca="false">1+E56*상수!$B$11</f>
        <v>1.079</v>
      </c>
      <c r="G56" s="33" t="n">
        <f aca="false">C56*$B$6*(1+D56)*F56*$B$7</f>
        <v>603.257522900826</v>
      </c>
      <c r="H56" s="18" t="n">
        <f aca="false">$B$15*B56</f>
        <v>1583.98858737323</v>
      </c>
      <c r="I56" s="17" t="n">
        <f aca="false">H56/G56</f>
        <v>2.62572537803831</v>
      </c>
      <c r="J56" s="18" t="n">
        <f aca="false">INDEX(레벨표!$D:$D,MATCH(A56,레벨표!$A:$A,0))+$B$10*A56</f>
        <v>604</v>
      </c>
      <c r="K56" s="18" t="n">
        <f aca="false">$B$11*A56+$B$12</f>
        <v>452</v>
      </c>
      <c r="L56" s="34" t="n">
        <f aca="false">MIN(K56/(K56+상수!$B$4*A56+상수!$B$5),상수!$B$6)</f>
        <v>0.433781190019194</v>
      </c>
      <c r="M56" s="33" t="n">
        <f aca="false">$B$16*INDEX(레벨표!$C:$C,MATCH(A56,레벨표!$A:$A,0))*(1-L56)</f>
        <v>57.7938631090434</v>
      </c>
      <c r="N56" s="33" t="n">
        <f aca="false">J56/M56</f>
        <v>10.450936613467</v>
      </c>
      <c r="O56" s="33" t="n">
        <f aca="false">N56*$B$17</f>
        <v>15.6764049202005</v>
      </c>
      <c r="P56" s="33" t="n">
        <f aca="false">$B$13</f>
        <v>2.5</v>
      </c>
      <c r="Q56" s="18" t="n">
        <f aca="false">$B$14</f>
        <v>15</v>
      </c>
    </row>
    <row r="57" customFormat="false" ht="15" hidden="false" customHeight="false" outlineLevel="0" collapsed="false">
      <c r="A57" s="11" t="n">
        <v>37</v>
      </c>
      <c r="B57" s="32" t="n">
        <f aca="false">INDEX(레벨표!$B:$B,MATCH(A57,레벨표!$A:$A,0))</f>
        <v>59.1355739286004</v>
      </c>
      <c r="C57" s="33" t="n">
        <f aca="false">$B$4*$B$5^(A57-1)</f>
        <v>302.027491915076</v>
      </c>
      <c r="D57" s="34" t="n">
        <f aca="false">$B$8*A57</f>
        <v>0.74</v>
      </c>
      <c r="E57" s="35" t="n">
        <f aca="false">MIN(상수!$B$10+$B$9*A57,상수!$B$12)</f>
        <v>0.161</v>
      </c>
      <c r="F57" s="17" t="n">
        <f aca="false">1+E57*상수!$B$11</f>
        <v>1.0805</v>
      </c>
      <c r="G57" s="33" t="n">
        <f aca="false">C57*$B$6*(1+D57)*F57*$B$7</f>
        <v>681.399392069732</v>
      </c>
      <c r="H57" s="18" t="n">
        <f aca="false">$B$15*B57</f>
        <v>1774.06721785801</v>
      </c>
      <c r="I57" s="17" t="n">
        <f aca="false">H57/G57</f>
        <v>2.60356442712597</v>
      </c>
      <c r="J57" s="18" t="n">
        <f aca="false">INDEX(레벨표!$D:$D,MATCH(A57,레벨표!$A:$A,0))+$B$10*A57</f>
        <v>618</v>
      </c>
      <c r="K57" s="18" t="n">
        <f aca="false">$B$11*A57+$B$12</f>
        <v>464</v>
      </c>
      <c r="L57" s="34" t="n">
        <f aca="false">MIN(K57/(K57+상수!$B$4*A57+상수!$B$5),상수!$B$6)</f>
        <v>0.434050514499532</v>
      </c>
      <c r="M57" s="33" t="n">
        <f aca="false">$B$16*INDEX(레벨표!$C:$C,MATCH(A57,레벨표!$A:$A,0))*(1-L57)</f>
        <v>62.9653467907652</v>
      </c>
      <c r="N57" s="33" t="n">
        <f aca="false">J57/M57</f>
        <v>9.81492251688255</v>
      </c>
      <c r="O57" s="33" t="n">
        <f aca="false">N57*$B$17</f>
        <v>14.7223837753238</v>
      </c>
      <c r="P57" s="33" t="n">
        <f aca="false">$B$13</f>
        <v>2.5</v>
      </c>
      <c r="Q57" s="18" t="n">
        <f aca="false">$B$14</f>
        <v>15</v>
      </c>
    </row>
    <row r="58" customFormat="false" ht="15" hidden="false" customHeight="false" outlineLevel="0" collapsed="false">
      <c r="A58" s="11" t="n">
        <v>38</v>
      </c>
      <c r="B58" s="32" t="n">
        <f aca="false">INDEX(레벨표!$B:$B,MATCH(A58,레벨표!$A:$A,0))</f>
        <v>66.2318428000325</v>
      </c>
      <c r="C58" s="33" t="n">
        <f aca="false">$B$4*$B$5^(A58-1)</f>
        <v>336.76065348531</v>
      </c>
      <c r="D58" s="34" t="n">
        <f aca="false">$B$8*A58</f>
        <v>0.76</v>
      </c>
      <c r="E58" s="35" t="n">
        <f aca="false">MIN(상수!$B$10+$B$9*A58,상수!$B$12)</f>
        <v>0.164</v>
      </c>
      <c r="F58" s="17" t="n">
        <f aca="false">1+E58*상수!$B$11</f>
        <v>1.082</v>
      </c>
      <c r="G58" s="33" t="n">
        <f aca="false">C58*$B$6*(1+D58)*F58*$B$7</f>
        <v>769.560057174174</v>
      </c>
      <c r="H58" s="18" t="n">
        <f aca="false">$B$15*B58</f>
        <v>1986.95528400097</v>
      </c>
      <c r="I58" s="17" t="n">
        <f aca="false">H58/G58</f>
        <v>2.58193660842674</v>
      </c>
      <c r="J58" s="18" t="n">
        <f aca="false">INDEX(레벨표!$D:$D,MATCH(A58,레벨표!$A:$A,0))+$B$10*A58</f>
        <v>632</v>
      </c>
      <c r="K58" s="18" t="n">
        <f aca="false">$B$11*A58+$B$12</f>
        <v>476</v>
      </c>
      <c r="L58" s="34" t="n">
        <f aca="false">MIN(K58/(K58+상수!$B$4*A58+상수!$B$5),상수!$B$6)</f>
        <v>0.434306569343066</v>
      </c>
      <c r="M58" s="33" t="n">
        <f aca="false">$B$16*INDEX(레벨표!$C:$C,MATCH(A58,레벨표!$A:$A,0))*(1-L58)</f>
        <v>68.6011764419405</v>
      </c>
      <c r="N58" s="33" t="n">
        <f aca="false">J58/M58</f>
        <v>9.21266999750191</v>
      </c>
      <c r="O58" s="33" t="n">
        <f aca="false">N58*$B$17</f>
        <v>13.8190049962529</v>
      </c>
      <c r="P58" s="33" t="n">
        <f aca="false">$B$13</f>
        <v>2.5</v>
      </c>
      <c r="Q58" s="18" t="n">
        <f aca="false">$B$14</f>
        <v>15</v>
      </c>
    </row>
    <row r="59" customFormat="false" ht="15" hidden="false" customHeight="false" outlineLevel="0" collapsed="false">
      <c r="A59" s="11" t="n">
        <v>39</v>
      </c>
      <c r="B59" s="32" t="n">
        <f aca="false">INDEX(레벨표!$B:$B,MATCH(A59,레벨표!$A:$A,0))</f>
        <v>74.1796639360364</v>
      </c>
      <c r="C59" s="33" t="n">
        <f aca="false">$B$4*$B$5^(A59-1)</f>
        <v>375.48812863612</v>
      </c>
      <c r="D59" s="34" t="n">
        <f aca="false">$B$8*A59</f>
        <v>0.78</v>
      </c>
      <c r="E59" s="35" t="n">
        <f aca="false">MIN(상수!$B$10+$B$9*A59,상수!$B$12)</f>
        <v>0.167</v>
      </c>
      <c r="F59" s="17" t="n">
        <f aca="false">1+E59*상수!$B$11</f>
        <v>1.0835</v>
      </c>
      <c r="G59" s="33" t="n">
        <f aca="false">C59*$B$6*(1+D59)*F59*$B$7</f>
        <v>869.013203437776</v>
      </c>
      <c r="H59" s="18" t="n">
        <f aca="false">$B$15*B59</f>
        <v>2225.38991808109</v>
      </c>
      <c r="I59" s="17" t="n">
        <f aca="false">H59/G59</f>
        <v>2.56082405799768</v>
      </c>
      <c r="J59" s="18" t="n">
        <f aca="false">INDEX(레벨표!$D:$D,MATCH(A59,레벨표!$A:$A,0))+$B$10*A59</f>
        <v>646</v>
      </c>
      <c r="K59" s="18" t="n">
        <f aca="false">$B$11*A59+$B$12</f>
        <v>488</v>
      </c>
      <c r="L59" s="34" t="n">
        <f aca="false">MIN(K59/(K59+상수!$B$4*A59+상수!$B$5),상수!$B$6)</f>
        <v>0.434550311665183</v>
      </c>
      <c r="M59" s="33" t="n">
        <f aca="false">$B$16*INDEX(레벨표!$C:$C,MATCH(A59,레벨표!$A:$A,0))*(1-L59)</f>
        <v>74.7430636322938</v>
      </c>
      <c r="N59" s="33" t="n">
        <f aca="false">J59/M59</f>
        <v>8.64294248330606</v>
      </c>
      <c r="O59" s="33" t="n">
        <f aca="false">N59*$B$17</f>
        <v>12.9644137249591</v>
      </c>
      <c r="P59" s="33" t="n">
        <f aca="false">$B$13</f>
        <v>2.5</v>
      </c>
      <c r="Q59" s="18" t="n">
        <f aca="false">$B$14</f>
        <v>15</v>
      </c>
    </row>
    <row r="60" customFormat="false" ht="15" hidden="false" customHeight="false" outlineLevel="0" collapsed="false">
      <c r="A60" s="11" t="n">
        <v>40</v>
      </c>
      <c r="B60" s="32" t="n">
        <f aca="false">INDEX(레벨표!$B:$B,MATCH(A60,레벨표!$A:$A,0))</f>
        <v>83.0812236083607</v>
      </c>
      <c r="C60" s="33" t="n">
        <f aca="false">$B$4*$B$5^(A60-1)</f>
        <v>418.669263429274</v>
      </c>
      <c r="D60" s="34" t="n">
        <f aca="false">$B$8*A60</f>
        <v>0.8</v>
      </c>
      <c r="E60" s="35" t="n">
        <f aca="false">MIN(상수!$B$10+$B$9*A60,상수!$B$12)</f>
        <v>0.17</v>
      </c>
      <c r="F60" s="17" t="n">
        <f aca="false">1+E60*상수!$B$11</f>
        <v>1.085</v>
      </c>
      <c r="G60" s="33" t="n">
        <f aca="false">C60*$B$6*(1+D60)*F60*$B$7</f>
        <v>981.193285772846</v>
      </c>
      <c r="H60" s="18" t="n">
        <f aca="false">$B$15*B60</f>
        <v>2492.43670825082</v>
      </c>
      <c r="I60" s="17" t="n">
        <f aca="false">H60/G60</f>
        <v>2.54020970627376</v>
      </c>
      <c r="J60" s="18" t="n">
        <f aca="false">INDEX(레벨표!$D:$D,MATCH(A60,레벨표!$A:$A,0))+$B$10*A60</f>
        <v>660</v>
      </c>
      <c r="K60" s="18" t="n">
        <f aca="false">$B$11*A60+$B$12</f>
        <v>500</v>
      </c>
      <c r="L60" s="34" t="n">
        <f aca="false">MIN(K60/(K60+상수!$B$4*A60+상수!$B$5),상수!$B$6)</f>
        <v>0.434782608695652</v>
      </c>
      <c r="M60" s="33" t="n">
        <f aca="false">$B$16*INDEX(레벨표!$C:$C,MATCH(A60,레벨표!$A:$A,0))*(1-L60)</f>
        <v>81.4364700243043</v>
      </c>
      <c r="N60" s="33" t="n">
        <f aca="false">J60/M60</f>
        <v>8.10447702120471</v>
      </c>
      <c r="O60" s="33" t="n">
        <f aca="false">N60*$B$17</f>
        <v>12.1567155318071</v>
      </c>
      <c r="P60" s="33" t="n">
        <f aca="false">$B$13</f>
        <v>2.5</v>
      </c>
      <c r="Q60" s="18" t="n">
        <f aca="false">$B$14</f>
        <v>15</v>
      </c>
    </row>
    <row r="61" customFormat="false" ht="15" hidden="false" customHeight="false" outlineLevel="0" collapsed="false">
      <c r="A61" s="11" t="n">
        <v>41</v>
      </c>
      <c r="B61" s="32" t="n">
        <f aca="false">INDEX(레벨표!$B:$B,MATCH(A61,레벨표!$A:$A,0))</f>
        <v>93.050970441364</v>
      </c>
      <c r="C61" s="33" t="n">
        <f aca="false">$B$4*$B$5^(A61-1)</f>
        <v>466.81622872364</v>
      </c>
      <c r="D61" s="34" t="n">
        <f aca="false">$B$8*A61</f>
        <v>0.82</v>
      </c>
      <c r="E61" s="35" t="n">
        <f aca="false">MIN(상수!$B$10+$B$9*A61,상수!$B$12)</f>
        <v>0.173</v>
      </c>
      <c r="F61" s="17" t="n">
        <f aca="false">1+E61*상수!$B$11</f>
        <v>1.0865</v>
      </c>
      <c r="G61" s="33" t="n">
        <f aca="false">C61*$B$6*(1+D61)*F61*$B$7</f>
        <v>1107.71569819799</v>
      </c>
      <c r="H61" s="18" t="n">
        <f aca="false">$B$15*B61</f>
        <v>2791.52911324092</v>
      </c>
      <c r="I61" s="17" t="n">
        <f aca="false">H61/G61</f>
        <v>2.52007723442228</v>
      </c>
      <c r="J61" s="18" t="n">
        <f aca="false">INDEX(레벨표!$D:$D,MATCH(A61,레벨표!$A:$A,0))+$B$10*A61</f>
        <v>674</v>
      </c>
      <c r="K61" s="18" t="n">
        <f aca="false">$B$11*A61+$B$12</f>
        <v>512</v>
      </c>
      <c r="L61" s="34" t="n">
        <f aca="false">MIN(K61/(K61+상수!$B$4*A61+상수!$B$5),상수!$B$6)</f>
        <v>0.43500424808836</v>
      </c>
      <c r="M61" s="33" t="n">
        <f aca="false">$B$16*INDEX(레벨표!$C:$C,MATCH(A61,레벨표!$A:$A,0))*(1-L61)</f>
        <v>88.7309445025613</v>
      </c>
      <c r="N61" s="33" t="n">
        <f aca="false">J61/M61</f>
        <v>7.59599713243833</v>
      </c>
      <c r="O61" s="33" t="n">
        <f aca="false">N61*$B$17</f>
        <v>11.3939956986575</v>
      </c>
      <c r="P61" s="33" t="n">
        <f aca="false">$B$13</f>
        <v>2.5</v>
      </c>
      <c r="Q61" s="18" t="n">
        <f aca="false">$B$14</f>
        <v>15</v>
      </c>
    </row>
    <row r="62" customFormat="false" ht="15" hidden="false" customHeight="false" outlineLevel="0" collapsed="false">
      <c r="A62" s="11" t="n">
        <v>42</v>
      </c>
      <c r="B62" s="32" t="n">
        <f aca="false">INDEX(레벨표!$B:$B,MATCH(A62,레벨표!$A:$A,0))</f>
        <v>104.217086894328</v>
      </c>
      <c r="C62" s="33" t="n">
        <f aca="false">$B$4*$B$5^(A62-1)</f>
        <v>520.500095026859</v>
      </c>
      <c r="D62" s="34" t="n">
        <f aca="false">$B$8*A62</f>
        <v>0.84</v>
      </c>
      <c r="E62" s="35" t="n">
        <f aca="false">MIN(상수!$B$10+$B$9*A62,상수!$B$12)</f>
        <v>0.176</v>
      </c>
      <c r="F62" s="17" t="n">
        <f aca="false">1+E62*상수!$B$11</f>
        <v>1.088</v>
      </c>
      <c r="G62" s="33" t="n">
        <f aca="false">C62*$B$6*(1+D62)*F62*$B$7</f>
        <v>1250.3994602834</v>
      </c>
      <c r="H62" s="18" t="n">
        <f aca="false">$B$15*B62</f>
        <v>3126.51260682983</v>
      </c>
      <c r="I62" s="17" t="n">
        <f aca="false">H62/G62</f>
        <v>2.5004110335438</v>
      </c>
      <c r="J62" s="18" t="n">
        <f aca="false">INDEX(레벨표!$D:$D,MATCH(A62,레벨표!$A:$A,0))+$B$10*A62</f>
        <v>688</v>
      </c>
      <c r="K62" s="18" t="n">
        <f aca="false">$B$11*A62+$B$12</f>
        <v>524</v>
      </c>
      <c r="L62" s="34" t="n">
        <f aca="false">MIN(K62/(K62+상수!$B$4*A62+상수!$B$5),상수!$B$6)</f>
        <v>0.435215946843854</v>
      </c>
      <c r="M62" s="33" t="n">
        <f aca="false">$B$16*INDEX(레벨표!$C:$C,MATCH(A62,레벨표!$A:$A,0))*(1-L62)</f>
        <v>96.6804906312995</v>
      </c>
      <c r="N62" s="33" t="n">
        <f aca="false">J62/M62</f>
        <v>7.1162237128456</v>
      </c>
      <c r="O62" s="33" t="n">
        <f aca="false">N62*$B$17</f>
        <v>10.6743355692684</v>
      </c>
      <c r="P62" s="33" t="n">
        <f aca="false">$B$13</f>
        <v>2.5</v>
      </c>
      <c r="Q62" s="18" t="n">
        <f aca="false">$B$14</f>
        <v>15</v>
      </c>
    </row>
    <row r="63" customFormat="false" ht="15" hidden="false" customHeight="false" outlineLevel="0" collapsed="false">
      <c r="A63" s="11" t="n">
        <v>43</v>
      </c>
      <c r="B63" s="32" t="n">
        <f aca="false">INDEX(레벨표!$B:$B,MATCH(A63,레벨표!$A:$A,0))</f>
        <v>116.723137321647</v>
      </c>
      <c r="C63" s="33" t="n">
        <f aca="false">$B$4*$B$5^(A63-1)</f>
        <v>580.357605954948</v>
      </c>
      <c r="D63" s="34" t="n">
        <f aca="false">$B$8*A63</f>
        <v>0.86</v>
      </c>
      <c r="E63" s="35" t="n">
        <f aca="false">MIN(상수!$B$10+$B$9*A63,상수!$B$12)</f>
        <v>0.179</v>
      </c>
      <c r="F63" s="17" t="n">
        <f aca="false">1+E63*상수!$B$11</f>
        <v>1.0895</v>
      </c>
      <c r="G63" s="33" t="n">
        <f aca="false">C63*$B$6*(1+D63)*F63*$B$7</f>
        <v>1411.29273328743</v>
      </c>
      <c r="H63" s="18" t="n">
        <f aca="false">$B$15*B63</f>
        <v>3501.69411964941</v>
      </c>
      <c r="I63" s="17" t="n">
        <f aca="false">H63/G63</f>
        <v>2.4811961665052</v>
      </c>
      <c r="J63" s="18" t="n">
        <f aca="false">INDEX(레벨표!$D:$D,MATCH(A63,레벨표!$A:$A,0))+$B$10*A63</f>
        <v>702</v>
      </c>
      <c r="K63" s="18" t="n">
        <f aca="false">$B$11*A63+$B$12</f>
        <v>536</v>
      </c>
      <c r="L63" s="34" t="n">
        <f aca="false">MIN(K63/(K63+상수!$B$4*A63+상수!$B$5),상수!$B$6)</f>
        <v>0.435418359057677</v>
      </c>
      <c r="M63" s="33" t="n">
        <f aca="false">$B$16*INDEX(레벨표!$C:$C,MATCH(A63,레벨표!$A:$A,0))*(1-L63)</f>
        <v>105.343967166818</v>
      </c>
      <c r="N63" s="33" t="n">
        <f aca="false">J63/M63</f>
        <v>6.66388421548947</v>
      </c>
      <c r="O63" s="33" t="n">
        <f aca="false">N63*$B$17</f>
        <v>9.99582632323421</v>
      </c>
      <c r="P63" s="33" t="n">
        <f aca="false">$B$13</f>
        <v>2.5</v>
      </c>
      <c r="Q63" s="18" t="n">
        <f aca="false">$B$14</f>
        <v>15</v>
      </c>
    </row>
    <row r="64" customFormat="false" ht="15" hidden="false" customHeight="false" outlineLevel="0" collapsed="false">
      <c r="A64" s="11" t="n">
        <v>44</v>
      </c>
      <c r="B64" s="32" t="n">
        <f aca="false">INDEX(레벨표!$B:$B,MATCH(A64,레벨표!$A:$A,0))</f>
        <v>130.729913800245</v>
      </c>
      <c r="C64" s="33" t="n">
        <f aca="false">$B$4*$B$5^(A64-1)</f>
        <v>647.098730639767</v>
      </c>
      <c r="D64" s="34" t="n">
        <f aca="false">$B$8*A64</f>
        <v>0.88</v>
      </c>
      <c r="E64" s="35" t="n">
        <f aca="false">MIN(상수!$B$10+$B$9*A64,상수!$B$12)</f>
        <v>0.182</v>
      </c>
      <c r="F64" s="17" t="n">
        <f aca="false">1+E64*상수!$B$11</f>
        <v>1.091</v>
      </c>
      <c r="G64" s="33" t="n">
        <f aca="false">C64*$B$6*(1+D64)*F64*$B$7</f>
        <v>1592.70151732874</v>
      </c>
      <c r="H64" s="18" t="n">
        <f aca="false">$B$15*B64</f>
        <v>3921.89741400734</v>
      </c>
      <c r="I64" s="17" t="n">
        <f aca="false">H64/G64</f>
        <v>2.46241833220898</v>
      </c>
      <c r="J64" s="18" t="n">
        <f aca="false">INDEX(레벨표!$D:$D,MATCH(A64,레벨표!$A:$A,0))+$B$10*A64</f>
        <v>716</v>
      </c>
      <c r="K64" s="18" t="n">
        <f aca="false">$B$11*A64+$B$12</f>
        <v>548</v>
      </c>
      <c r="L64" s="34" t="n">
        <f aca="false">MIN(K64/(K64+상수!$B$4*A64+상수!$B$5),상수!$B$6)</f>
        <v>0.435612082670906</v>
      </c>
      <c r="M64" s="33" t="n">
        <f aca="false">$B$16*INDEX(레벨표!$C:$C,MATCH(A64,레벨표!$A:$A,0))*(1-L64)</f>
        <v>114.785524596977</v>
      </c>
      <c r="N64" s="33" t="n">
        <f aca="false">J64/M64</f>
        <v>6.23772032679159</v>
      </c>
      <c r="O64" s="33" t="n">
        <f aca="false">N64*$B$17</f>
        <v>9.35658049018739</v>
      </c>
      <c r="P64" s="33" t="n">
        <f aca="false">$B$13</f>
        <v>2.5</v>
      </c>
      <c r="Q64" s="18" t="n">
        <f aca="false">$B$14</f>
        <v>15</v>
      </c>
    </row>
    <row r="65" customFormat="false" ht="15" hidden="false" customHeight="false" outlineLevel="0" collapsed="false">
      <c r="A65" s="11" t="n">
        <v>45</v>
      </c>
      <c r="B65" s="32" t="n">
        <f aca="false">INDEX(레벨표!$B:$B,MATCH(A65,레벨표!$A:$A,0))</f>
        <v>146.417503456274</v>
      </c>
      <c r="C65" s="33" t="n">
        <f aca="false">$B$4*$B$5^(A65-1)</f>
        <v>721.51508466334</v>
      </c>
      <c r="D65" s="34" t="n">
        <f aca="false">$B$8*A65</f>
        <v>0.9</v>
      </c>
      <c r="E65" s="35" t="n">
        <f aca="false">MIN(상수!$B$10+$B$9*A65,상수!$B$12)</f>
        <v>0.185</v>
      </c>
      <c r="F65" s="17" t="n">
        <f aca="false">1+E65*상수!$B$11</f>
        <v>1.0925</v>
      </c>
      <c r="G65" s="33" t="n">
        <f aca="false">C65*$B$6*(1+D65)*F65*$B$7</f>
        <v>1797.22192438791</v>
      </c>
      <c r="H65" s="18" t="n">
        <f aca="false">$B$15*B65</f>
        <v>4392.52510368823</v>
      </c>
      <c r="I65" s="17" t="n">
        <f aca="false">H65/G65</f>
        <v>2.44406383211923</v>
      </c>
      <c r="J65" s="18" t="n">
        <f aca="false">INDEX(레벨표!$D:$D,MATCH(A65,레벨표!$A:$A,0))+$B$10*A65</f>
        <v>730</v>
      </c>
      <c r="K65" s="18" t="n">
        <f aca="false">$B$11*A65+$B$12</f>
        <v>560</v>
      </c>
      <c r="L65" s="34" t="n">
        <f aca="false">MIN(K65/(K65+상수!$B$4*A65+상수!$B$5),상수!$B$6)</f>
        <v>0.43579766536965</v>
      </c>
      <c r="M65" s="33" t="n">
        <f aca="false">$B$16*INDEX(레벨표!$C:$C,MATCH(A65,레벨표!$A:$A,0))*(1-L65)</f>
        <v>125.075080947502</v>
      </c>
      <c r="N65" s="33" t="n">
        <f aca="false">J65/M65</f>
        <v>5.83649432380862</v>
      </c>
      <c r="O65" s="33" t="n">
        <f aca="false">N65*$B$17</f>
        <v>8.75474148571294</v>
      </c>
      <c r="P65" s="33" t="n">
        <f aca="false">$B$13</f>
        <v>2.5</v>
      </c>
      <c r="Q65" s="18" t="n">
        <f aca="false">$B$14</f>
        <v>15</v>
      </c>
    </row>
    <row r="66" customFormat="false" ht="15" hidden="false" customHeight="false" outlineLevel="0" collapsed="false">
      <c r="A66" s="11" t="n">
        <v>46</v>
      </c>
      <c r="B66" s="32" t="n">
        <f aca="false">INDEX(레벨표!$B:$B,MATCH(A66,레벨표!$A:$A,0))</f>
        <v>163.987603871027</v>
      </c>
      <c r="C66" s="33" t="n">
        <f aca="false">$B$4*$B$5^(A66-1)</f>
        <v>804.489319399624</v>
      </c>
      <c r="D66" s="34" t="n">
        <f aca="false">$B$8*A66</f>
        <v>0.92</v>
      </c>
      <c r="E66" s="35" t="n">
        <f aca="false">MIN(상수!$B$10+$B$9*A66,상수!$B$12)</f>
        <v>0.188</v>
      </c>
      <c r="F66" s="17" t="n">
        <f aca="false">1+E66*상수!$B$11</f>
        <v>1.094</v>
      </c>
      <c r="G66" s="33" t="n">
        <f aca="false">C66*$B$6*(1+D66)*F66*$B$7</f>
        <v>2027.77647073503</v>
      </c>
      <c r="H66" s="18" t="n">
        <f aca="false">$B$15*B66</f>
        <v>4919.62811613081</v>
      </c>
      <c r="I66" s="17" t="n">
        <f aca="false">H66/G66</f>
        <v>2.42611953887972</v>
      </c>
      <c r="J66" s="18" t="n">
        <f aca="false">INDEX(레벨표!$D:$D,MATCH(A66,레벨표!$A:$A,0))+$B$10*A66</f>
        <v>744</v>
      </c>
      <c r="K66" s="18" t="n">
        <f aca="false">$B$11*A66+$B$12</f>
        <v>572</v>
      </c>
      <c r="L66" s="34" t="n">
        <f aca="false">MIN(K66/(K66+상수!$B$4*A66+상수!$B$5),상수!$B$6)</f>
        <v>0.435975609756098</v>
      </c>
      <c r="M66" s="33" t="n">
        <f aca="false">$B$16*INDEX(레벨표!$C:$C,MATCH(A66,레벨표!$A:$A,0))*(1-L66)</f>
        <v>136.288840386404</v>
      </c>
      <c r="N66" s="33" t="n">
        <f aca="false">J66/M66</f>
        <v>5.4589942792867</v>
      </c>
      <c r="O66" s="33" t="n">
        <f aca="false">N66*$B$17</f>
        <v>8.18849141893005</v>
      </c>
      <c r="P66" s="33" t="n">
        <f aca="false">$B$13</f>
        <v>2.5</v>
      </c>
      <c r="Q66" s="18" t="n">
        <f aca="false">$B$14</f>
        <v>15</v>
      </c>
    </row>
    <row r="67" customFormat="false" ht="15" hidden="false" customHeight="false" outlineLevel="0" collapsed="false">
      <c r="A67" s="11" t="n">
        <v>47</v>
      </c>
      <c r="B67" s="32" t="n">
        <f aca="false">INDEX(레벨표!$B:$B,MATCH(A67,레벨표!$A:$A,0))</f>
        <v>183.66611633555</v>
      </c>
      <c r="C67" s="33" t="n">
        <f aca="false">$B$4*$B$5^(A67-1)</f>
        <v>897.005591130581</v>
      </c>
      <c r="D67" s="34" t="n">
        <f aca="false">$B$8*A67</f>
        <v>0.94</v>
      </c>
      <c r="E67" s="35" t="n">
        <f aca="false">MIN(상수!$B$10+$B$9*A67,상수!$B$12)</f>
        <v>0.191</v>
      </c>
      <c r="F67" s="17" t="n">
        <f aca="false">1+E67*상수!$B$11</f>
        <v>1.0955</v>
      </c>
      <c r="G67" s="33" t="n">
        <f aca="false">C67*$B$6*(1+D67)*F67*$B$7</f>
        <v>2287.65488719451</v>
      </c>
      <c r="H67" s="18" t="n">
        <f aca="false">$B$15*B67</f>
        <v>5509.98349006651</v>
      </c>
      <c r="I67" s="17" t="n">
        <f aca="false">H67/G67</f>
        <v>2.40857286687318</v>
      </c>
      <c r="J67" s="18" t="n">
        <f aca="false">INDEX(레벨표!$D:$D,MATCH(A67,레벨표!$A:$A,0))+$B$10*A67</f>
        <v>758</v>
      </c>
      <c r="K67" s="18" t="n">
        <f aca="false">$B$11*A67+$B$12</f>
        <v>584</v>
      </c>
      <c r="L67" s="34" t="n">
        <f aca="false">MIN(K67/(K67+상수!$B$4*A67+상수!$B$5),상수!$B$6)</f>
        <v>0.436146377893951</v>
      </c>
      <c r="M67" s="33" t="n">
        <f aca="false">$B$16*INDEX(레벨표!$C:$C,MATCH(A67,레벨표!$A:$A,0))*(1-L67)</f>
        <v>148.509858475608</v>
      </c>
      <c r="N67" s="33" t="n">
        <f aca="false">J67/M67</f>
        <v>5.10403826237905</v>
      </c>
      <c r="O67" s="33" t="n">
        <f aca="false">N67*$B$17</f>
        <v>7.65605739356857</v>
      </c>
      <c r="P67" s="33" t="n">
        <f aca="false">$B$13</f>
        <v>2.5</v>
      </c>
      <c r="Q67" s="18" t="n">
        <f aca="false">$B$14</f>
        <v>15</v>
      </c>
    </row>
    <row r="68" customFormat="false" ht="15" hidden="false" customHeight="false" outlineLevel="0" collapsed="false">
      <c r="A68" s="11" t="n">
        <v>48</v>
      </c>
      <c r="B68" s="32" t="n">
        <f aca="false">INDEX(레벨표!$B:$B,MATCH(A68,레벨표!$A:$A,0))</f>
        <v>205.706050295816</v>
      </c>
      <c r="C68" s="33" t="n">
        <f aca="false">$B$4*$B$5^(A68-1)</f>
        <v>1000.1612341106</v>
      </c>
      <c r="D68" s="34" t="n">
        <f aca="false">$B$8*A68</f>
        <v>0.96</v>
      </c>
      <c r="E68" s="35" t="n">
        <f aca="false">MIN(상수!$B$10+$B$9*A68,상수!$B$12)</f>
        <v>0.194</v>
      </c>
      <c r="F68" s="17" t="n">
        <f aca="false">1+E68*상수!$B$11</f>
        <v>1.097</v>
      </c>
      <c r="G68" s="33" t="n">
        <f aca="false">C68*$B$6*(1+D68)*F68*$B$7</f>
        <v>2580.56000722305</v>
      </c>
      <c r="H68" s="18" t="n">
        <f aca="false">$B$15*B68</f>
        <v>6171.18150887449</v>
      </c>
      <c r="I68" s="17" t="n">
        <f aca="false">H68/G68</f>
        <v>2.39141174458303</v>
      </c>
      <c r="J68" s="18" t="n">
        <f aca="false">INDEX(레벨표!$D:$D,MATCH(A68,레벨표!$A:$A,0))+$B$10*A68</f>
        <v>772</v>
      </c>
      <c r="K68" s="18" t="n">
        <f aca="false">$B$11*A68+$B$12</f>
        <v>596</v>
      </c>
      <c r="L68" s="34" t="n">
        <f aca="false">MIN(K68/(K68+상수!$B$4*A68+상수!$B$5),상수!$B$6)</f>
        <v>0.436310395314788</v>
      </c>
      <c r="M68" s="33" t="n">
        <f aca="false">$B$16*INDEX(레벨표!$C:$C,MATCH(A68,레벨표!$A:$A,0))*(1-L68)</f>
        <v>161.828658265226</v>
      </c>
      <c r="N68" s="33" t="n">
        <f aca="false">J68/M68</f>
        <v>4.7704776661668</v>
      </c>
      <c r="O68" s="33" t="n">
        <f aca="false">N68*$B$17</f>
        <v>7.1557164992502</v>
      </c>
      <c r="P68" s="33" t="n">
        <f aca="false">$B$13</f>
        <v>2.5</v>
      </c>
      <c r="Q68" s="18" t="n">
        <f aca="false">$B$14</f>
        <v>15</v>
      </c>
    </row>
    <row r="69" customFormat="false" ht="15" hidden="false" customHeight="false" outlineLevel="0" collapsed="false">
      <c r="A69" s="11" t="n">
        <v>49</v>
      </c>
      <c r="B69" s="32" t="n">
        <f aca="false">INDEX(레벨표!$B:$B,MATCH(A69,레벨표!$A:$A,0))</f>
        <v>230.390776331314</v>
      </c>
      <c r="C69" s="33" t="n">
        <f aca="false">$B$4*$B$5^(A69-1)</f>
        <v>1115.17977603332</v>
      </c>
      <c r="D69" s="34" t="n">
        <f aca="false">$B$8*A69</f>
        <v>0.98</v>
      </c>
      <c r="E69" s="35" t="n">
        <f aca="false">MIN(상수!$B$10+$B$9*A69,상수!$B$12)</f>
        <v>0.197</v>
      </c>
      <c r="F69" s="17" t="n">
        <f aca="false">1+E69*상수!$B$11</f>
        <v>1.0985</v>
      </c>
      <c r="G69" s="33" t="n">
        <f aca="false">C69*$B$6*(1+D69)*F69*$B$7</f>
        <v>2910.65936191889</v>
      </c>
      <c r="H69" s="18" t="n">
        <f aca="false">$B$15*B69</f>
        <v>6911.72328993943</v>
      </c>
      <c r="I69" s="17" t="n">
        <f aca="false">H69/G69</f>
        <v>2.37462458863025</v>
      </c>
      <c r="J69" s="18" t="n">
        <f aca="false">INDEX(레벨표!$D:$D,MATCH(A69,레벨표!$A:$A,0))+$B$10*A69</f>
        <v>786</v>
      </c>
      <c r="K69" s="18" t="n">
        <f aca="false">$B$11*A69+$B$12</f>
        <v>608</v>
      </c>
      <c r="L69" s="34" t="n">
        <f aca="false">MIN(K69/(K69+상수!$B$4*A69+상수!$B$5),상수!$B$6)</f>
        <v>0.436468054558507</v>
      </c>
      <c r="M69" s="33" t="n">
        <f aca="false">$B$16*INDEX(레벨표!$C:$C,MATCH(A69,레벨표!$A:$A,0))*(1-L69)</f>
        <v>176.343901803432</v>
      </c>
      <c r="N69" s="33" t="n">
        <f aca="false">J69/M69</f>
        <v>4.45719977817063</v>
      </c>
      <c r="O69" s="33" t="n">
        <f aca="false">N69*$B$17</f>
        <v>6.68579966725594</v>
      </c>
      <c r="P69" s="33" t="n">
        <f aca="false">$B$13</f>
        <v>2.5</v>
      </c>
      <c r="Q69" s="18" t="n">
        <f aca="false">$B$14</f>
        <v>15</v>
      </c>
    </row>
    <row r="70" customFormat="false" ht="15" hidden="false" customHeight="false" outlineLevel="0" collapsed="false">
      <c r="A70" s="11" t="n">
        <v>50</v>
      </c>
      <c r="B70" s="32" t="n">
        <f aca="false">INDEX(레벨표!$B:$B,MATCH(A70,레벨표!$A:$A,0))</f>
        <v>258.037669491072</v>
      </c>
      <c r="C70" s="33" t="n">
        <f aca="false">$B$4*$B$5^(A70-1)</f>
        <v>1243.42545027715</v>
      </c>
      <c r="D70" s="34" t="n">
        <f aca="false">$B$8*A70</f>
        <v>1</v>
      </c>
      <c r="E70" s="35" t="n">
        <f aca="false">MIN(상수!$B$10+$B$9*A70,상수!$B$12)</f>
        <v>0.2</v>
      </c>
      <c r="F70" s="17" t="n">
        <f aca="false">1+E70*상수!$B$11</f>
        <v>1.1</v>
      </c>
      <c r="G70" s="33" t="n">
        <f aca="false">C70*$B$6*(1+D70)*F70*$B$7</f>
        <v>3282.64318873167</v>
      </c>
      <c r="H70" s="18" t="n">
        <f aca="false">$B$15*B70</f>
        <v>7741.13008473216</v>
      </c>
      <c r="I70" s="17" t="n">
        <f aca="false">H70/G70</f>
        <v>2.3582002793679</v>
      </c>
      <c r="J70" s="18" t="n">
        <f aca="false">INDEX(레벨표!$D:$D,MATCH(A70,레벨표!$A:$A,0))+$B$10*A70</f>
        <v>800</v>
      </c>
      <c r="K70" s="18" t="n">
        <f aca="false">$B$11*A70+$B$12</f>
        <v>620</v>
      </c>
      <c r="L70" s="34" t="n">
        <f aca="false">MIN(K70/(K70+상수!$B$4*A70+상수!$B$5),상수!$B$6)</f>
        <v>0.436619718309859</v>
      </c>
      <c r="M70" s="33" t="n">
        <f aca="false">$B$16*INDEX(레벨표!$C:$C,MATCH(A70,레벨표!$A:$A,0))*(1-L70)</f>
        <v>192.16312204631</v>
      </c>
      <c r="N70" s="33" t="n">
        <f aca="false">J70/M70</f>
        <v>4.16312969669178</v>
      </c>
      <c r="O70" s="33" t="n">
        <f aca="false">N70*$B$17</f>
        <v>6.24469454503767</v>
      </c>
      <c r="P70" s="33" t="n">
        <f aca="false">$B$13</f>
        <v>2.5</v>
      </c>
      <c r="Q70" s="18" t="n">
        <f aca="false">$B$14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2026-10-13T03:09:25Z</dcterms:created>
  <dc:creator>openpyxl</dc:creator>
  <dc:description/>
  <dc:language>en-US</dc:language>
  <cp:lastModifiedBy/>
  <dcterms:modified xsi:type="dcterms:W3CDTF">2026-10-13T03:09:29Z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