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전투시뮬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피해에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</t>
        </r>
      </text>
    </comment>
    <comment ref="G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<sst xmlns="http://schemas.openxmlformats.org/spreadsheetml/2006/main" count="687" uniqueCount="442">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</sst>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0.00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044627"/>
        <c:axId val="82262866"/>
      </c:lineChart>
      <c:catAx>
        <c:axId val="100446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62866"/>
        <c:crosses val="autoZero"/>
        <c:auto val="1"/>
        <c:lblAlgn val="ctr"/>
        <c:lblOffset val="100"/>
        <c:noMultiLvlLbl val="0"/>
      </c:catAx>
      <c:valAx>
        <c:axId val="822628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446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35.4285714285714</c:v>
                </c:pt>
                <c:pt idx="2">
                  <c:v>35.9861707841031</c:v>
                </c:pt>
                <c:pt idx="3">
                  <c:v>35.9358434932415</c:v>
                </c:pt>
                <c:pt idx="4">
                  <c:v>35.4364880518534</c:v>
                </c:pt>
                <c:pt idx="5">
                  <c:v>34.603310881308</c:v>
                </c:pt>
                <c:pt idx="6">
                  <c:v>33.5239447176972</c:v>
                </c:pt>
                <c:pt idx="7">
                  <c:v>32.2668677933018</c:v>
                </c:pt>
                <c:pt idx="8">
                  <c:v>30.8863694927617</c:v>
                </c:pt>
                <c:pt idx="9">
                  <c:v>29.4257780384969</c:v>
                </c:pt>
                <c:pt idx="10">
                  <c:v>27.91972201722</c:v>
                </c:pt>
                <c:pt idx="11">
                  <c:v>26.3958058991341</c:v>
                </c:pt>
                <c:pt idx="12">
                  <c:v>24.8759023548265</c:v>
                </c:pt>
                <c:pt idx="13">
                  <c:v>23.3771776959493</c:v>
                </c:pt>
                <c:pt idx="14">
                  <c:v>21.9129217510485</c:v>
                </c:pt>
                <c:pt idx="15">
                  <c:v>20.4932286221376</c:v>
                </c:pt>
                <c:pt idx="16">
                  <c:v>19.1255602497432</c:v>
                </c:pt>
                <c:pt idx="17">
                  <c:v>17.8152157827143</c:v>
                </c:pt>
                <c:pt idx="18">
                  <c:v>16.565723976138</c:v>
                </c:pt>
                <c:pt idx="19">
                  <c:v>15.3791719332503</c:v>
                </c:pt>
                <c:pt idx="20">
                  <c:v>14.2564807487238</c:v>
                </c:pt>
                <c:pt idx="21">
                  <c:v>13.1976365890693</c:v>
                </c:pt>
                <c:pt idx="22">
                  <c:v>12.201884215585</c:v>
                </c:pt>
                <c:pt idx="23">
                  <c:v>11.2678887649895</c:v>
                </c:pt>
                <c:pt idx="24">
                  <c:v>10.393870656113</c:v>
                </c:pt>
                <c:pt idx="25">
                  <c:v>9.57771772430439</c:v>
                </c:pt>
                <c:pt idx="26">
                  <c:v>8.81707805535706</c:v>
                </c:pt>
                <c:pt idx="27">
                  <c:v>8.10943646750958</c:v>
                </c:pt>
                <c:pt idx="28">
                  <c:v>7.45217715158711</c:v>
                </c:pt>
                <c:pt idx="29">
                  <c:v>6.84263460941751</c:v>
                </c:pt>
                <c:pt idx="30">
                  <c:v>6.27813471695185</c:v>
                </c:pt>
                <c:pt idx="31">
                  <c:v>5.7560274714641</c:v>
                </c:pt>
                <c:pt idx="32">
                  <c:v>5.27371275419897</c:v>
                </c:pt>
                <c:pt idx="33">
                  <c:v>4.82866024475833</c:v>
                </c:pt>
                <c:pt idx="34">
                  <c:v>4.41842445635905</c:v>
                </c:pt>
                <c:pt idx="35">
                  <c:v>4.04065571772002</c:v>
                </c:pt>
                <c:pt idx="36">
                  <c:v>3.69310780428821</c:v>
                </c:pt>
                <c:pt idx="37">
                  <c:v>3.37364281588511</c:v>
                </c:pt>
                <c:pt idx="38">
                  <c:v>3.08023380718522</c:v>
                </c:pt>
                <c:pt idx="39">
                  <c:v>2.81096559963231</c:v>
                </c:pt>
                <c:pt idx="40">
                  <c:v>2.56403413666705</c:v>
                </c:pt>
                <c:pt idx="41">
                  <c:v>2.33774468694856</c:v>
                </c:pt>
                <c:pt idx="42">
                  <c:v>2.13050915128287</c:v>
                </c:pt>
                <c:pt idx="43">
                  <c:v>1.9408426870899</c:v>
                </c:pt>
                <c:pt idx="44">
                  <c:v>1.76735982846739</c:v>
                </c:pt>
                <c:pt idx="45">
                  <c:v>1.60877024940169</c:v>
                </c:pt>
                <c:pt idx="46">
                  <c:v>1.46387429170148</c:v>
                </c:pt>
                <c:pt idx="47">
                  <c:v>1.33155835715923</c:v>
                </c:pt>
                <c:pt idx="48">
                  <c:v>1.21079024473378</c:v>
                </c:pt>
                <c:pt idx="49">
                  <c:v>1.10061449772095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453765"/>
        <c:axId val="8727658"/>
      </c:lineChart>
      <c:catAx>
        <c:axId val="42453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7658"/>
        <c:crosses val="autoZero"/>
        <c:auto val="1"/>
        <c:lblAlgn val="ctr"/>
        <c:lblOffset val="100"/>
        <c:noMultiLvlLbl val="0"/>
      </c:catAx>
      <c:valAx>
        <c:axId val="87276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537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29.85" hidden="false" customHeight="false" outlineLevel="0" collapsed="false">
      <c r="A16" s="3" t="s">
        <v>21</v>
      </c>
      <c r="B16" s="7" t="s">
        <v>22</v>
      </c>
    </row>
    <row r="17" customFormat="false" ht="15" hidden="false" customHeight="false" outlineLevel="0" collapsed="false">
      <c r="A17" s="3"/>
      <c r="B17" s="7"/>
    </row>
    <row r="18" customFormat="false" ht="15" hidden="false" customHeight="false" outlineLevel="0" collapsed="false">
      <c r="A18" s="5" t="s">
        <v>23</v>
      </c>
      <c r="B18" s="7"/>
    </row>
    <row r="19" customFormat="false" ht="15" hidden="false" customHeight="false" outlineLevel="0" collapsed="false">
      <c r="A19" s="9" t="s">
        <v>24</v>
      </c>
      <c r="B19" s="7" t="s">
        <v>25</v>
      </c>
    </row>
    <row r="20" customFormat="false" ht="29.85" hidden="false" customHeight="false" outlineLevel="0" collapsed="false">
      <c r="A20" s="9" t="s">
        <v>26</v>
      </c>
      <c r="B20" s="7" t="s">
        <v>27</v>
      </c>
    </row>
    <row r="21" customFormat="false" ht="29.85" hidden="false" customHeight="false" outlineLevel="0" collapsed="false">
      <c r="A21" s="9" t="s">
        <v>28</v>
      </c>
      <c r="B21" s="4" t="s">
        <v>29</v>
      </c>
    </row>
    <row r="22" customFormat="false" ht="15" hidden="false" customHeight="false" outlineLevel="0" collapsed="false">
      <c r="A22" s="9" t="s">
        <v>30</v>
      </c>
      <c r="B22" s="7" t="s">
        <v>31</v>
      </c>
    </row>
    <row r="23" customFormat="false" ht="15" hidden="false" customHeight="false" outlineLevel="0" collapsed="false">
      <c r="A23" s="3"/>
      <c r="B23" s="7"/>
    </row>
    <row r="24" customFormat="false" ht="44" hidden="false" customHeight="false" outlineLevel="0" collapsed="false">
      <c r="A24" s="5" t="s">
        <v>32</v>
      </c>
      <c r="B24" s="7" t="s">
        <v>33</v>
      </c>
    </row>
    <row r="25" customFormat="false" ht="15" hidden="false" customHeight="false" outlineLevel="0" collapsed="false">
      <c r="A25" s="5" t="s">
        <v>32</v>
      </c>
      <c r="B25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35</v>
      </c>
      <c r="B1" s="10" t="s">
        <v>36</v>
      </c>
      <c r="C1" s="10" t="s">
        <v>37</v>
      </c>
      <c r="D1" s="10" t="s">
        <v>38</v>
      </c>
    </row>
    <row r="2" customFormat="false" ht="15" hidden="false" customHeight="false" outlineLevel="0" collapsed="false">
      <c r="A2" s="11" t="s">
        <v>39</v>
      </c>
      <c r="B2" s="12" t="n">
        <v>1.12</v>
      </c>
      <c r="C2" s="13" t="s">
        <v>40</v>
      </c>
      <c r="D2" s="13" t="s">
        <v>41</v>
      </c>
    </row>
    <row r="3" customFormat="false" ht="15" hidden="false" customHeight="false" outlineLevel="0" collapsed="false">
      <c r="A3" s="11" t="s">
        <v>42</v>
      </c>
      <c r="B3" s="14" t="n">
        <v>15</v>
      </c>
      <c r="C3" s="11"/>
      <c r="D3" s="13" t="s">
        <v>43</v>
      </c>
    </row>
    <row r="4" customFormat="false" ht="15" hidden="false" customHeight="false" outlineLevel="0" collapsed="false">
      <c r="A4" s="11" t="s">
        <v>44</v>
      </c>
      <c r="B4" s="14" t="n">
        <v>50</v>
      </c>
      <c r="C4" s="11"/>
      <c r="D4" s="13" t="s">
        <v>45</v>
      </c>
    </row>
    <row r="5" customFormat="false" ht="15" hidden="false" customHeight="false" outlineLevel="0" collapsed="false">
      <c r="A5" s="11" t="s">
        <v>46</v>
      </c>
      <c r="B5" s="15" t="n">
        <v>0.85</v>
      </c>
      <c r="C5" s="11" t="s">
        <v>47</v>
      </c>
      <c r="D5" s="13" t="s">
        <v>48</v>
      </c>
    </row>
    <row r="6" customFormat="false" ht="15" hidden="false" customHeight="false" outlineLevel="0" collapsed="false">
      <c r="A6" s="11" t="s">
        <v>49</v>
      </c>
      <c r="B6" s="15" t="n">
        <v>0.75</v>
      </c>
      <c r="C6" s="11" t="s">
        <v>47</v>
      </c>
      <c r="D6" s="13" t="s">
        <v>50</v>
      </c>
    </row>
    <row r="7" customFormat="false" ht="15" hidden="false" customHeight="false" outlineLevel="0" collapsed="false">
      <c r="A7" s="11" t="s">
        <v>51</v>
      </c>
      <c r="B7" s="15" t="n">
        <v>0.8</v>
      </c>
      <c r="C7" s="11" t="s">
        <v>47</v>
      </c>
      <c r="D7" s="11" t="s">
        <v>52</v>
      </c>
    </row>
    <row r="8" customFormat="false" ht="15" hidden="false" customHeight="false" outlineLevel="0" collapsed="false">
      <c r="A8" s="11" t="s">
        <v>53</v>
      </c>
      <c r="B8" s="15" t="n">
        <v>0.5</v>
      </c>
      <c r="C8" s="11" t="s">
        <v>47</v>
      </c>
      <c r="D8" s="13" t="s">
        <v>54</v>
      </c>
    </row>
    <row r="9" customFormat="false" ht="15" hidden="false" customHeight="false" outlineLevel="0" collapsed="false">
      <c r="A9" s="11" t="s">
        <v>55</v>
      </c>
      <c r="B9" s="15" t="n">
        <v>0.05</v>
      </c>
      <c r="C9" s="11" t="s">
        <v>47</v>
      </c>
      <c r="D9" s="13" t="s">
        <v>56</v>
      </c>
    </row>
    <row r="10" customFormat="false" ht="15" hidden="false" customHeight="false" outlineLevel="0" collapsed="false">
      <c r="A10" s="11" t="s">
        <v>57</v>
      </c>
      <c r="B10" s="15" t="n">
        <v>0.5</v>
      </c>
      <c r="C10" s="11" t="s">
        <v>47</v>
      </c>
      <c r="D10" s="13" t="s">
        <v>58</v>
      </c>
    </row>
    <row r="11" customFormat="false" ht="15" hidden="false" customHeight="false" outlineLevel="0" collapsed="false">
      <c r="A11" s="11" t="s">
        <v>59</v>
      </c>
      <c r="B11" s="15" t="n">
        <v>0.75</v>
      </c>
      <c r="C11" s="11" t="s">
        <v>47</v>
      </c>
      <c r="D11" s="13" t="s">
        <v>60</v>
      </c>
    </row>
    <row r="12" customFormat="false" ht="15" hidden="false" customHeight="false" outlineLevel="0" collapsed="false">
      <c r="A12" s="11" t="s">
        <v>61</v>
      </c>
      <c r="B12" s="15" t="n">
        <v>1</v>
      </c>
      <c r="C12" s="11" t="s">
        <v>47</v>
      </c>
      <c r="D12" s="13" t="s">
        <v>62</v>
      </c>
    </row>
    <row r="13" customFormat="false" ht="15" hidden="false" customHeight="false" outlineLevel="0" collapsed="false">
      <c r="A13" s="11" t="s">
        <v>63</v>
      </c>
      <c r="B13" s="15" t="n">
        <v>0.4</v>
      </c>
      <c r="C13" s="11" t="s">
        <v>47</v>
      </c>
      <c r="D13" s="13" t="s">
        <v>64</v>
      </c>
    </row>
    <row r="14" customFormat="false" ht="15" hidden="false" customHeight="false" outlineLevel="0" collapsed="false">
      <c r="A14" s="11" t="s">
        <v>65</v>
      </c>
      <c r="B14" s="15" t="n">
        <v>0.4</v>
      </c>
      <c r="C14" s="11" t="s">
        <v>47</v>
      </c>
      <c r="D14" s="13" t="s">
        <v>66</v>
      </c>
    </row>
    <row r="15" customFormat="false" ht="15" hidden="false" customHeight="false" outlineLevel="0" collapsed="false">
      <c r="A15" s="11" t="s">
        <v>67</v>
      </c>
      <c r="B15" s="15" t="n">
        <v>0.5</v>
      </c>
      <c r="C15" s="11" t="s">
        <v>47</v>
      </c>
      <c r="D15" s="13" t="s">
        <v>68</v>
      </c>
    </row>
    <row r="16" customFormat="false" ht="15" hidden="false" customHeight="false" outlineLevel="0" collapsed="false">
      <c r="A16" s="11" t="s">
        <v>69</v>
      </c>
      <c r="B16" s="15" t="n">
        <v>0.03</v>
      </c>
      <c r="C16" s="11" t="s">
        <v>47</v>
      </c>
      <c r="D16" s="13" t="s">
        <v>70</v>
      </c>
    </row>
    <row r="17" customFormat="false" ht="15" hidden="false" customHeight="false" outlineLevel="0" collapsed="false">
      <c r="A17" s="11" t="s">
        <v>71</v>
      </c>
      <c r="B17" s="15" t="n">
        <v>0.45</v>
      </c>
      <c r="C17" s="11" t="s">
        <v>47</v>
      </c>
      <c r="D17" s="13" t="s">
        <v>72</v>
      </c>
    </row>
    <row r="18" customFormat="false" ht="15" hidden="false" customHeight="false" outlineLevel="0" collapsed="false">
      <c r="A18" s="11" t="s">
        <v>73</v>
      </c>
      <c r="B18" s="14" t="n">
        <v>100</v>
      </c>
      <c r="C18" s="11"/>
      <c r="D18" s="13" t="s">
        <v>74</v>
      </c>
    </row>
    <row r="19" customFormat="false" ht="15" hidden="false" customHeight="false" outlineLevel="0" collapsed="false">
      <c r="A19" s="11" t="s">
        <v>75</v>
      </c>
      <c r="B19" s="14" t="n">
        <v>10</v>
      </c>
      <c r="C19" s="11"/>
      <c r="D19" s="13" t="s">
        <v>76</v>
      </c>
    </row>
    <row r="20" customFormat="false" ht="15" hidden="false" customHeight="false" outlineLevel="0" collapsed="false">
      <c r="A20" s="11" t="s">
        <v>77</v>
      </c>
      <c r="B20" s="14" t="n">
        <v>100</v>
      </c>
      <c r="C20" s="11"/>
      <c r="D20" s="13" t="s">
        <v>78</v>
      </c>
    </row>
    <row r="21" customFormat="false" ht="15" hidden="false" customHeight="false" outlineLevel="0" collapsed="false">
      <c r="A21" s="11" t="s">
        <v>79</v>
      </c>
      <c r="B21" s="14" t="n">
        <v>2</v>
      </c>
      <c r="C21" s="11"/>
      <c r="D21" s="13" t="s">
        <v>80</v>
      </c>
    </row>
    <row r="22" customFormat="false" ht="15" hidden="false" customHeight="false" outlineLevel="0" collapsed="false">
      <c r="A22" s="11" t="s">
        <v>81</v>
      </c>
      <c r="B22" s="14" t="n">
        <v>5</v>
      </c>
      <c r="C22" s="11" t="s">
        <v>82</v>
      </c>
      <c r="D22" s="13" t="s">
        <v>83</v>
      </c>
    </row>
    <row r="23" customFormat="false" ht="15" hidden="false" customHeight="false" outlineLevel="0" collapsed="false">
      <c r="A23" s="11" t="s">
        <v>84</v>
      </c>
      <c r="B23" s="14" t="n">
        <v>1</v>
      </c>
      <c r="C23" s="11"/>
      <c r="D23" s="13" t="s">
        <v>85</v>
      </c>
    </row>
    <row r="24" customFormat="false" ht="15" hidden="false" customHeight="false" outlineLevel="0" collapsed="false">
      <c r="A24" s="11" t="s">
        <v>86</v>
      </c>
      <c r="B24" s="14" t="n">
        <v>3</v>
      </c>
      <c r="C24" s="11"/>
      <c r="D24" s="13" t="s">
        <v>87</v>
      </c>
    </row>
    <row r="25" customFormat="false" ht="15" hidden="false" customHeight="false" outlineLevel="0" collapsed="false">
      <c r="A25" s="11" t="s">
        <v>88</v>
      </c>
      <c r="B25" s="12" t="n">
        <v>3</v>
      </c>
      <c r="C25" s="13" t="s">
        <v>40</v>
      </c>
      <c r="D25" s="13" t="s">
        <v>89</v>
      </c>
    </row>
    <row r="26" customFormat="false" ht="15" hidden="false" customHeight="false" outlineLevel="0" collapsed="false">
      <c r="A26" s="11" t="s">
        <v>90</v>
      </c>
      <c r="B26" s="12" t="n">
        <v>1.5</v>
      </c>
      <c r="C26" s="13" t="s">
        <v>40</v>
      </c>
      <c r="D26" s="13" t="s">
        <v>91</v>
      </c>
    </row>
    <row r="27" customFormat="false" ht="15" hidden="false" customHeight="false" outlineLevel="0" collapsed="false">
      <c r="A27" s="11" t="s">
        <v>92</v>
      </c>
      <c r="B27" s="14" t="n">
        <v>2</v>
      </c>
      <c r="C27" s="13" t="s">
        <v>93</v>
      </c>
      <c r="D27" s="13" t="s">
        <v>94</v>
      </c>
    </row>
    <row r="28" customFormat="false" ht="15" hidden="false" customHeight="false" outlineLevel="0" collapsed="false">
      <c r="A28" s="11" t="s">
        <v>95</v>
      </c>
      <c r="B28" s="14" t="n">
        <v>3</v>
      </c>
      <c r="C28" s="13" t="s">
        <v>93</v>
      </c>
      <c r="D28" s="13" t="s">
        <v>96</v>
      </c>
    </row>
    <row r="29" customFormat="false" ht="15" hidden="false" customHeight="false" outlineLevel="0" collapsed="false">
      <c r="A29" s="11" t="s">
        <v>97</v>
      </c>
      <c r="B29" s="14" t="n">
        <v>250</v>
      </c>
      <c r="C29" s="11"/>
      <c r="D29" s="13" t="s">
        <v>98</v>
      </c>
    </row>
    <row r="30" customFormat="false" ht="15" hidden="false" customHeight="false" outlineLevel="0" collapsed="false">
      <c r="A30" s="11" t="s">
        <v>99</v>
      </c>
      <c r="B30" s="14" t="n">
        <v>100</v>
      </c>
      <c r="C30" s="11"/>
      <c r="D30" s="13" t="s">
        <v>100</v>
      </c>
    </row>
    <row r="31" customFormat="false" ht="15" hidden="false" customHeight="false" outlineLevel="0" collapsed="false">
      <c r="A31" s="11" t="s">
        <v>101</v>
      </c>
      <c r="B31" s="12" t="n">
        <v>1.5</v>
      </c>
      <c r="C31" s="11"/>
      <c r="D31" s="13" t="s">
        <v>102</v>
      </c>
    </row>
    <row r="32" customFormat="false" ht="15" hidden="false" customHeight="false" outlineLevel="0" collapsed="false">
      <c r="A32" s="11" t="s">
        <v>103</v>
      </c>
      <c r="B32" s="14" t="n">
        <v>5</v>
      </c>
      <c r="C32" s="13" t="s">
        <v>93</v>
      </c>
      <c r="D32" s="13" t="s">
        <v>104</v>
      </c>
    </row>
    <row r="33" customFormat="false" ht="15" hidden="false" customHeight="false" outlineLevel="0" collapsed="false">
      <c r="A33" s="11" t="s">
        <v>105</v>
      </c>
      <c r="B33" s="12" t="n">
        <v>0.2</v>
      </c>
      <c r="C33" s="13" t="s">
        <v>40</v>
      </c>
      <c r="D33" s="13" t="s">
        <v>106</v>
      </c>
    </row>
    <row r="34" customFormat="false" ht="15" hidden="false" customHeight="false" outlineLevel="0" collapsed="false">
      <c r="A34" s="11" t="s">
        <v>107</v>
      </c>
      <c r="B34" s="14" t="n">
        <v>50</v>
      </c>
      <c r="C34" s="13" t="s">
        <v>93</v>
      </c>
      <c r="D34" s="13" t="s">
        <v>108</v>
      </c>
    </row>
    <row r="35" customFormat="false" ht="15" hidden="false" customHeight="false" outlineLevel="0" collapsed="false">
      <c r="A35" s="11" t="s">
        <v>109</v>
      </c>
      <c r="B35" s="14" t="n">
        <v>12</v>
      </c>
      <c r="C35" s="11"/>
      <c r="D35" s="13" t="s">
        <v>110</v>
      </c>
    </row>
    <row r="36" customFormat="false" ht="15" hidden="false" customHeight="false" outlineLevel="0" collapsed="false">
      <c r="A36" s="11" t="s">
        <v>111</v>
      </c>
      <c r="B36" s="14" t="n">
        <v>2</v>
      </c>
      <c r="C36" s="11"/>
      <c r="D36" s="13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6"/>
  </cols>
  <sheetData>
    <row r="1" customFormat="false" ht="29.85" hidden="false" customHeight="false" outlineLevel="0" collapsed="false">
      <c r="A1" s="16" t="s">
        <v>113</v>
      </c>
      <c r="B1" s="16" t="s">
        <v>114</v>
      </c>
      <c r="C1" s="16" t="s">
        <v>115</v>
      </c>
      <c r="D1" s="16" t="s">
        <v>116</v>
      </c>
      <c r="E1" s="16" t="s">
        <v>117</v>
      </c>
      <c r="F1" s="16" t="s">
        <v>118</v>
      </c>
      <c r="G1" s="16" t="s">
        <v>119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8" t="n">
        <f aca="false">IF(A2&lt;=상수!$B$34,상수!$B$18+상수!$B$19*A2,"")</f>
        <v>110</v>
      </c>
      <c r="D2" s="18" t="n">
        <f aca="false">IF(A2&lt;=상수!$B$34,상수!$B$20+상수!$B$21*A2,"")</f>
        <v>102</v>
      </c>
      <c r="E2" s="19" t="n">
        <f aca="false">IF(A2&lt;상수!$B$34,ROUND(상수!$B$30*A2^상수!$B$31,0),"")</f>
        <v>100</v>
      </c>
      <c r="F2" s="19" t="n">
        <f aca="false">0</f>
        <v>0</v>
      </c>
      <c r="G2" s="18" t="n">
        <f aca="false">상수!$B$3*A2+상수!$B$4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8" t="n">
        <f aca="false">IF(A3&lt;=상수!$B$34,상수!$B$18+상수!$B$19*A3,"")</f>
        <v>120</v>
      </c>
      <c r="D3" s="18" t="n">
        <f aca="false">IF(A3&lt;=상수!$B$34,상수!$B$20+상수!$B$21*A3,"")</f>
        <v>104</v>
      </c>
      <c r="E3" s="19" t="n">
        <f aca="false">IF(A3&lt;상수!$B$34,ROUND(상수!$B$30*A3^상수!$B$31,0),"")</f>
        <v>283</v>
      </c>
      <c r="F3" s="19" t="n">
        <f aca="false">IF(A3&lt;=상수!$B$34,F2+E2,"")</f>
        <v>100</v>
      </c>
      <c r="G3" s="18" t="n">
        <f aca="false">상수!$B$3*A3+상수!$B$4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8" t="n">
        <f aca="false">IF(A4&lt;=상수!$B$34,상수!$B$18+상수!$B$19*A4,"")</f>
        <v>130</v>
      </c>
      <c r="D4" s="18" t="n">
        <f aca="false">IF(A4&lt;=상수!$B$34,상수!$B$20+상수!$B$21*A4,"")</f>
        <v>106</v>
      </c>
      <c r="E4" s="19" t="n">
        <f aca="false">IF(A4&lt;상수!$B$34,ROUND(상수!$B$30*A4^상수!$B$31,0),"")</f>
        <v>520</v>
      </c>
      <c r="F4" s="19" t="n">
        <f aca="false">IF(A4&lt;=상수!$B$34,F3+E3,"")</f>
        <v>383</v>
      </c>
      <c r="G4" s="18" t="n">
        <f aca="false">상수!$B$3*A4+상수!$B$4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8" t="n">
        <f aca="false">IF(A5&lt;=상수!$B$34,상수!$B$18+상수!$B$19*A5,"")</f>
        <v>140</v>
      </c>
      <c r="D5" s="18" t="n">
        <f aca="false">IF(A5&lt;=상수!$B$34,상수!$B$20+상수!$B$21*A5,"")</f>
        <v>108</v>
      </c>
      <c r="E5" s="19" t="n">
        <f aca="false">IF(A5&lt;상수!$B$34,ROUND(상수!$B$30*A5^상수!$B$31,0),"")</f>
        <v>800</v>
      </c>
      <c r="F5" s="19" t="n">
        <f aca="false">IF(A5&lt;=상수!$B$34,F4+E4,"")</f>
        <v>903</v>
      </c>
      <c r="G5" s="18" t="n">
        <f aca="false">상수!$B$3*A5+상수!$B$4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8" t="n">
        <f aca="false">IF(A6&lt;=상수!$B$34,상수!$B$18+상수!$B$19*A6,"")</f>
        <v>150</v>
      </c>
      <c r="D6" s="18" t="n">
        <f aca="false">IF(A6&lt;=상수!$B$34,상수!$B$20+상수!$B$21*A6,"")</f>
        <v>110</v>
      </c>
      <c r="E6" s="19" t="n">
        <f aca="false">IF(A6&lt;상수!$B$34,ROUND(상수!$B$30*A6^상수!$B$31,0),"")</f>
        <v>1118</v>
      </c>
      <c r="F6" s="19" t="n">
        <f aca="false">IF(A6&lt;=상수!$B$34,F5+E5,"")</f>
        <v>1703</v>
      </c>
      <c r="G6" s="18" t="n">
        <f aca="false">상수!$B$3*A6+상수!$B$4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8" t="n">
        <f aca="false">IF(A7&lt;=상수!$B$34,상수!$B$18+상수!$B$19*A7,"")</f>
        <v>160</v>
      </c>
      <c r="D7" s="18" t="n">
        <f aca="false">IF(A7&lt;=상수!$B$34,상수!$B$20+상수!$B$21*A7,"")</f>
        <v>112</v>
      </c>
      <c r="E7" s="19" t="n">
        <f aca="false">IF(A7&lt;상수!$B$34,ROUND(상수!$B$30*A7^상수!$B$31,0),"")</f>
        <v>1470</v>
      </c>
      <c r="F7" s="19" t="n">
        <f aca="false">IF(A7&lt;=상수!$B$34,F6+E6,"")</f>
        <v>2821</v>
      </c>
      <c r="G7" s="18" t="n">
        <f aca="false">상수!$B$3*A7+상수!$B$4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8" t="n">
        <f aca="false">IF(A8&lt;=상수!$B$34,상수!$B$18+상수!$B$19*A8,"")</f>
        <v>170</v>
      </c>
      <c r="D8" s="18" t="n">
        <f aca="false">IF(A8&lt;=상수!$B$34,상수!$B$20+상수!$B$21*A8,"")</f>
        <v>114</v>
      </c>
      <c r="E8" s="19" t="n">
        <f aca="false">IF(A8&lt;상수!$B$34,ROUND(상수!$B$30*A8^상수!$B$31,0),"")</f>
        <v>1852</v>
      </c>
      <c r="F8" s="19" t="n">
        <f aca="false">IF(A8&lt;=상수!$B$34,F7+E7,"")</f>
        <v>4291</v>
      </c>
      <c r="G8" s="18" t="n">
        <f aca="false">상수!$B$3*A8+상수!$B$4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8" t="n">
        <f aca="false">IF(A9&lt;=상수!$B$34,상수!$B$18+상수!$B$19*A9,"")</f>
        <v>180</v>
      </c>
      <c r="D9" s="18" t="n">
        <f aca="false">IF(A9&lt;=상수!$B$34,상수!$B$20+상수!$B$21*A9,"")</f>
        <v>116</v>
      </c>
      <c r="E9" s="19" t="n">
        <f aca="false">IF(A9&lt;상수!$B$34,ROUND(상수!$B$30*A9^상수!$B$31,0),"")</f>
        <v>2263</v>
      </c>
      <c r="F9" s="19" t="n">
        <f aca="false">IF(A9&lt;=상수!$B$34,F8+E8,"")</f>
        <v>6143</v>
      </c>
      <c r="G9" s="18" t="n">
        <f aca="false">상수!$B$3*A9+상수!$B$4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8" t="n">
        <f aca="false">IF(A10&lt;=상수!$B$34,상수!$B$18+상수!$B$19*A10,"")</f>
        <v>190</v>
      </c>
      <c r="D10" s="18" t="n">
        <f aca="false">IF(A10&lt;=상수!$B$34,상수!$B$20+상수!$B$21*A10,"")</f>
        <v>118</v>
      </c>
      <c r="E10" s="19" t="n">
        <f aca="false">IF(A10&lt;상수!$B$34,ROUND(상수!$B$30*A10^상수!$B$31,0),"")</f>
        <v>2700</v>
      </c>
      <c r="F10" s="19" t="n">
        <f aca="false">IF(A10&lt;=상수!$B$34,F9+E9,"")</f>
        <v>8406</v>
      </c>
      <c r="G10" s="18" t="n">
        <f aca="false">상수!$B$3*A10+상수!$B$4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8" t="n">
        <f aca="false">IF(A11&lt;=상수!$B$34,상수!$B$18+상수!$B$19*A11,"")</f>
        <v>200</v>
      </c>
      <c r="D11" s="18" t="n">
        <f aca="false">IF(A11&lt;=상수!$B$34,상수!$B$20+상수!$B$21*A11,"")</f>
        <v>120</v>
      </c>
      <c r="E11" s="19" t="n">
        <f aca="false">IF(A11&lt;상수!$B$34,ROUND(상수!$B$30*A11^상수!$B$31,0),"")</f>
        <v>3162</v>
      </c>
      <c r="F11" s="19" t="n">
        <f aca="false">IF(A11&lt;=상수!$B$34,F10+E10,"")</f>
        <v>11106</v>
      </c>
      <c r="G11" s="18" t="n">
        <f aca="false">상수!$B$3*A11+상수!$B$4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8" t="n">
        <f aca="false">IF(A12&lt;=상수!$B$34,상수!$B$18+상수!$B$19*A12,"")</f>
        <v>210</v>
      </c>
      <c r="D12" s="18" t="n">
        <f aca="false">IF(A12&lt;=상수!$B$34,상수!$B$20+상수!$B$21*A12,"")</f>
        <v>122</v>
      </c>
      <c r="E12" s="19" t="n">
        <f aca="false">IF(A12&lt;상수!$B$34,ROUND(상수!$B$30*A12^상수!$B$31,0),"")</f>
        <v>3648</v>
      </c>
      <c r="F12" s="19" t="n">
        <f aca="false">IF(A12&lt;=상수!$B$34,F11+E11,"")</f>
        <v>14268</v>
      </c>
      <c r="G12" s="18" t="n">
        <f aca="false">상수!$B$3*A12+상수!$B$4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8" t="n">
        <f aca="false">IF(A13&lt;=상수!$B$34,상수!$B$18+상수!$B$19*A13,"")</f>
        <v>220</v>
      </c>
      <c r="D13" s="18" t="n">
        <f aca="false">IF(A13&lt;=상수!$B$34,상수!$B$20+상수!$B$21*A13,"")</f>
        <v>124</v>
      </c>
      <c r="E13" s="19" t="n">
        <f aca="false">IF(A13&lt;상수!$B$34,ROUND(상수!$B$30*A13^상수!$B$31,0),"")</f>
        <v>4157</v>
      </c>
      <c r="F13" s="19" t="n">
        <f aca="false">IF(A13&lt;=상수!$B$34,F12+E12,"")</f>
        <v>17916</v>
      </c>
      <c r="G13" s="18" t="n">
        <f aca="false">상수!$B$3*A13+상수!$B$4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8" t="n">
        <f aca="false">IF(A14&lt;=상수!$B$34,상수!$B$18+상수!$B$19*A14,"")</f>
        <v>230</v>
      </c>
      <c r="D14" s="18" t="n">
        <f aca="false">IF(A14&lt;=상수!$B$34,상수!$B$20+상수!$B$21*A14,"")</f>
        <v>126</v>
      </c>
      <c r="E14" s="19" t="n">
        <f aca="false">IF(A14&lt;상수!$B$34,ROUND(상수!$B$30*A14^상수!$B$31,0),"")</f>
        <v>4687</v>
      </c>
      <c r="F14" s="19" t="n">
        <f aca="false">IF(A14&lt;=상수!$B$34,F13+E13,"")</f>
        <v>22073</v>
      </c>
      <c r="G14" s="18" t="n">
        <f aca="false">상수!$B$3*A14+상수!$B$4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8" t="n">
        <f aca="false">IF(A15&lt;=상수!$B$34,상수!$B$18+상수!$B$19*A15,"")</f>
        <v>240</v>
      </c>
      <c r="D15" s="18" t="n">
        <f aca="false">IF(A15&lt;=상수!$B$34,상수!$B$20+상수!$B$21*A15,"")</f>
        <v>128</v>
      </c>
      <c r="E15" s="19" t="n">
        <f aca="false">IF(A15&lt;상수!$B$34,ROUND(상수!$B$30*A15^상수!$B$31,0),"")</f>
        <v>5238</v>
      </c>
      <c r="F15" s="19" t="n">
        <f aca="false">IF(A15&lt;=상수!$B$34,F14+E14,"")</f>
        <v>26760</v>
      </c>
      <c r="G15" s="18" t="n">
        <f aca="false">상수!$B$3*A15+상수!$B$4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8" t="n">
        <f aca="false">IF(A16&lt;=상수!$B$34,상수!$B$18+상수!$B$19*A16,"")</f>
        <v>250</v>
      </c>
      <c r="D16" s="18" t="n">
        <f aca="false">IF(A16&lt;=상수!$B$34,상수!$B$20+상수!$B$21*A16,"")</f>
        <v>130</v>
      </c>
      <c r="E16" s="19" t="n">
        <f aca="false">IF(A16&lt;상수!$B$34,ROUND(상수!$B$30*A16^상수!$B$31,0),"")</f>
        <v>5809</v>
      </c>
      <c r="F16" s="19" t="n">
        <f aca="false">IF(A16&lt;=상수!$B$34,F15+E15,"")</f>
        <v>31998</v>
      </c>
      <c r="G16" s="18" t="n">
        <f aca="false">상수!$B$3*A16+상수!$B$4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8" t="n">
        <f aca="false">IF(A17&lt;=상수!$B$34,상수!$B$18+상수!$B$19*A17,"")</f>
        <v>260</v>
      </c>
      <c r="D17" s="18" t="n">
        <f aca="false">IF(A17&lt;=상수!$B$34,상수!$B$20+상수!$B$21*A17,"")</f>
        <v>132</v>
      </c>
      <c r="E17" s="19" t="n">
        <f aca="false">IF(A17&lt;상수!$B$34,ROUND(상수!$B$30*A17^상수!$B$31,0),"")</f>
        <v>6400</v>
      </c>
      <c r="F17" s="19" t="n">
        <f aca="false">IF(A17&lt;=상수!$B$34,F16+E16,"")</f>
        <v>37807</v>
      </c>
      <c r="G17" s="18" t="n">
        <f aca="false">상수!$B$3*A17+상수!$B$4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8" t="n">
        <f aca="false">IF(A18&lt;=상수!$B$34,상수!$B$18+상수!$B$19*A18,"")</f>
        <v>270</v>
      </c>
      <c r="D18" s="18" t="n">
        <f aca="false">IF(A18&lt;=상수!$B$34,상수!$B$20+상수!$B$21*A18,"")</f>
        <v>134</v>
      </c>
      <c r="E18" s="19" t="n">
        <f aca="false">IF(A18&lt;상수!$B$34,ROUND(상수!$B$30*A18^상수!$B$31,0),"")</f>
        <v>7009</v>
      </c>
      <c r="F18" s="19" t="n">
        <f aca="false">IF(A18&lt;=상수!$B$34,F17+E17,"")</f>
        <v>44207</v>
      </c>
      <c r="G18" s="18" t="n">
        <f aca="false">상수!$B$3*A18+상수!$B$4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8" t="n">
        <f aca="false">IF(A19&lt;=상수!$B$34,상수!$B$18+상수!$B$19*A19,"")</f>
        <v>280</v>
      </c>
      <c r="D19" s="18" t="n">
        <f aca="false">IF(A19&lt;=상수!$B$34,상수!$B$20+상수!$B$21*A19,"")</f>
        <v>136</v>
      </c>
      <c r="E19" s="19" t="n">
        <f aca="false">IF(A19&lt;상수!$B$34,ROUND(상수!$B$30*A19^상수!$B$31,0),"")</f>
        <v>7637</v>
      </c>
      <c r="F19" s="19" t="n">
        <f aca="false">IF(A19&lt;=상수!$B$34,F18+E18,"")</f>
        <v>51216</v>
      </c>
      <c r="G19" s="18" t="n">
        <f aca="false">상수!$B$3*A19+상수!$B$4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8" t="n">
        <f aca="false">IF(A20&lt;=상수!$B$34,상수!$B$18+상수!$B$19*A20,"")</f>
        <v>290</v>
      </c>
      <c r="D20" s="18" t="n">
        <f aca="false">IF(A20&lt;=상수!$B$34,상수!$B$20+상수!$B$21*A20,"")</f>
        <v>138</v>
      </c>
      <c r="E20" s="19" t="n">
        <f aca="false">IF(A20&lt;상수!$B$34,ROUND(상수!$B$30*A20^상수!$B$31,0),"")</f>
        <v>8282</v>
      </c>
      <c r="F20" s="19" t="n">
        <f aca="false">IF(A20&lt;=상수!$B$34,F19+E19,"")</f>
        <v>58853</v>
      </c>
      <c r="G20" s="18" t="n">
        <f aca="false">상수!$B$3*A20+상수!$B$4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8" t="n">
        <f aca="false">IF(A21&lt;=상수!$B$34,상수!$B$18+상수!$B$19*A21,"")</f>
        <v>300</v>
      </c>
      <c r="D21" s="18" t="n">
        <f aca="false">IF(A21&lt;=상수!$B$34,상수!$B$20+상수!$B$21*A21,"")</f>
        <v>140</v>
      </c>
      <c r="E21" s="19" t="n">
        <f aca="false">IF(A21&lt;상수!$B$34,ROUND(상수!$B$30*A21^상수!$B$31,0),"")</f>
        <v>8944</v>
      </c>
      <c r="F21" s="19" t="n">
        <f aca="false">IF(A21&lt;=상수!$B$34,F20+E20,"")</f>
        <v>67135</v>
      </c>
      <c r="G21" s="18" t="n">
        <f aca="false">상수!$B$3*A21+상수!$B$4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8" t="n">
        <f aca="false">IF(A22&lt;=상수!$B$34,상수!$B$18+상수!$B$19*A22,"")</f>
        <v>310</v>
      </c>
      <c r="D22" s="18" t="n">
        <f aca="false">IF(A22&lt;=상수!$B$34,상수!$B$20+상수!$B$21*A22,"")</f>
        <v>142</v>
      </c>
      <c r="E22" s="19" t="n">
        <f aca="false">IF(A22&lt;상수!$B$34,ROUND(상수!$B$30*A22^상수!$B$31,0),"")</f>
        <v>9623</v>
      </c>
      <c r="F22" s="19" t="n">
        <f aca="false">IF(A22&lt;=상수!$B$34,F21+E21,"")</f>
        <v>76079</v>
      </c>
      <c r="G22" s="18" t="n">
        <f aca="false">상수!$B$3*A22+상수!$B$4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8" t="n">
        <f aca="false">IF(A23&lt;=상수!$B$34,상수!$B$18+상수!$B$19*A23,"")</f>
        <v>320</v>
      </c>
      <c r="D23" s="18" t="n">
        <f aca="false">IF(A23&lt;=상수!$B$34,상수!$B$20+상수!$B$21*A23,"")</f>
        <v>144</v>
      </c>
      <c r="E23" s="19" t="n">
        <f aca="false">IF(A23&lt;상수!$B$34,ROUND(상수!$B$30*A23^상수!$B$31,0),"")</f>
        <v>10319</v>
      </c>
      <c r="F23" s="19" t="n">
        <f aca="false">IF(A23&lt;=상수!$B$34,F22+E22,"")</f>
        <v>85702</v>
      </c>
      <c r="G23" s="18" t="n">
        <f aca="false">상수!$B$3*A23+상수!$B$4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8" t="n">
        <f aca="false">IF(A24&lt;=상수!$B$34,상수!$B$18+상수!$B$19*A24,"")</f>
        <v>330</v>
      </c>
      <c r="D24" s="18" t="n">
        <f aca="false">IF(A24&lt;=상수!$B$34,상수!$B$20+상수!$B$21*A24,"")</f>
        <v>146</v>
      </c>
      <c r="E24" s="19" t="n">
        <f aca="false">IF(A24&lt;상수!$B$34,ROUND(상수!$B$30*A24^상수!$B$31,0),"")</f>
        <v>11030</v>
      </c>
      <c r="F24" s="19" t="n">
        <f aca="false">IF(A24&lt;=상수!$B$34,F23+E23,"")</f>
        <v>96021</v>
      </c>
      <c r="G24" s="18" t="n">
        <f aca="false">상수!$B$3*A24+상수!$B$4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8" t="n">
        <f aca="false">IF(A25&lt;=상수!$B$34,상수!$B$18+상수!$B$19*A25,"")</f>
        <v>340</v>
      </c>
      <c r="D25" s="18" t="n">
        <f aca="false">IF(A25&lt;=상수!$B$34,상수!$B$20+상수!$B$21*A25,"")</f>
        <v>148</v>
      </c>
      <c r="E25" s="19" t="n">
        <f aca="false">IF(A25&lt;상수!$B$34,ROUND(상수!$B$30*A25^상수!$B$31,0),"")</f>
        <v>11758</v>
      </c>
      <c r="F25" s="19" t="n">
        <f aca="false">IF(A25&lt;=상수!$B$34,F24+E24,"")</f>
        <v>107051</v>
      </c>
      <c r="G25" s="18" t="n">
        <f aca="false">상수!$B$3*A25+상수!$B$4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8" t="n">
        <f aca="false">IF(A26&lt;=상수!$B$34,상수!$B$18+상수!$B$19*A26,"")</f>
        <v>350</v>
      </c>
      <c r="D26" s="18" t="n">
        <f aca="false">IF(A26&lt;=상수!$B$34,상수!$B$20+상수!$B$21*A26,"")</f>
        <v>150</v>
      </c>
      <c r="E26" s="19" t="n">
        <f aca="false">IF(A26&lt;상수!$B$34,ROUND(상수!$B$30*A26^상수!$B$31,0),"")</f>
        <v>12500</v>
      </c>
      <c r="F26" s="19" t="n">
        <f aca="false">IF(A26&lt;=상수!$B$34,F25+E25,"")</f>
        <v>118809</v>
      </c>
      <c r="G26" s="18" t="n">
        <f aca="false">상수!$B$3*A26+상수!$B$4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8" t="n">
        <f aca="false">IF(A27&lt;=상수!$B$34,상수!$B$18+상수!$B$19*A27,"")</f>
        <v>360</v>
      </c>
      <c r="D27" s="18" t="n">
        <f aca="false">IF(A27&lt;=상수!$B$34,상수!$B$20+상수!$B$21*A27,"")</f>
        <v>152</v>
      </c>
      <c r="E27" s="19" t="n">
        <f aca="false">IF(A27&lt;상수!$B$34,ROUND(상수!$B$30*A27^상수!$B$31,0),"")</f>
        <v>13257</v>
      </c>
      <c r="F27" s="19" t="n">
        <f aca="false">IF(A27&lt;=상수!$B$34,F26+E26,"")</f>
        <v>131309</v>
      </c>
      <c r="G27" s="18" t="n">
        <f aca="false">상수!$B$3*A27+상수!$B$4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8" t="n">
        <f aca="false">IF(A28&lt;=상수!$B$34,상수!$B$18+상수!$B$19*A28,"")</f>
        <v>370</v>
      </c>
      <c r="D28" s="18" t="n">
        <f aca="false">IF(A28&lt;=상수!$B$34,상수!$B$20+상수!$B$21*A28,"")</f>
        <v>154</v>
      </c>
      <c r="E28" s="19" t="n">
        <f aca="false">IF(A28&lt;상수!$B$34,ROUND(상수!$B$30*A28^상수!$B$31,0),"")</f>
        <v>14030</v>
      </c>
      <c r="F28" s="19" t="n">
        <f aca="false">IF(A28&lt;=상수!$B$34,F27+E27,"")</f>
        <v>144566</v>
      </c>
      <c r="G28" s="18" t="n">
        <f aca="false">상수!$B$3*A28+상수!$B$4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8" t="n">
        <f aca="false">IF(A29&lt;=상수!$B$34,상수!$B$18+상수!$B$19*A29,"")</f>
        <v>380</v>
      </c>
      <c r="D29" s="18" t="n">
        <f aca="false">IF(A29&lt;=상수!$B$34,상수!$B$20+상수!$B$21*A29,"")</f>
        <v>156</v>
      </c>
      <c r="E29" s="19" t="n">
        <f aca="false">IF(A29&lt;상수!$B$34,ROUND(상수!$B$30*A29^상수!$B$31,0),"")</f>
        <v>14816</v>
      </c>
      <c r="F29" s="19" t="n">
        <f aca="false">IF(A29&lt;=상수!$B$34,F28+E28,"")</f>
        <v>158596</v>
      </c>
      <c r="G29" s="18" t="n">
        <f aca="false">상수!$B$3*A29+상수!$B$4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8" t="n">
        <f aca="false">IF(A30&lt;=상수!$B$34,상수!$B$18+상수!$B$19*A30,"")</f>
        <v>390</v>
      </c>
      <c r="D30" s="18" t="n">
        <f aca="false">IF(A30&lt;=상수!$B$34,상수!$B$20+상수!$B$21*A30,"")</f>
        <v>158</v>
      </c>
      <c r="E30" s="19" t="n">
        <f aca="false">IF(A30&lt;상수!$B$34,ROUND(상수!$B$30*A30^상수!$B$31,0),"")</f>
        <v>15617</v>
      </c>
      <c r="F30" s="19" t="n">
        <f aca="false">IF(A30&lt;=상수!$B$34,F29+E29,"")</f>
        <v>173412</v>
      </c>
      <c r="G30" s="18" t="n">
        <f aca="false">상수!$B$3*A30+상수!$B$4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8" t="n">
        <f aca="false">IF(A31&lt;=상수!$B$34,상수!$B$18+상수!$B$19*A31,"")</f>
        <v>400</v>
      </c>
      <c r="D31" s="18" t="n">
        <f aca="false">IF(A31&lt;=상수!$B$34,상수!$B$20+상수!$B$21*A31,"")</f>
        <v>160</v>
      </c>
      <c r="E31" s="19" t="n">
        <f aca="false">IF(A31&lt;상수!$B$34,ROUND(상수!$B$30*A31^상수!$B$31,0),"")</f>
        <v>16432</v>
      </c>
      <c r="F31" s="19" t="n">
        <f aca="false">IF(A31&lt;=상수!$B$34,F30+E30,"")</f>
        <v>189029</v>
      </c>
      <c r="G31" s="18" t="n">
        <f aca="false">상수!$B$3*A31+상수!$B$4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8" t="n">
        <f aca="false">IF(A32&lt;=상수!$B$34,상수!$B$18+상수!$B$19*A32,"")</f>
        <v>410</v>
      </c>
      <c r="D32" s="18" t="n">
        <f aca="false">IF(A32&lt;=상수!$B$34,상수!$B$20+상수!$B$21*A32,"")</f>
        <v>162</v>
      </c>
      <c r="E32" s="19" t="n">
        <f aca="false">IF(A32&lt;상수!$B$34,ROUND(상수!$B$30*A32^상수!$B$31,0),"")</f>
        <v>17260</v>
      </c>
      <c r="F32" s="19" t="n">
        <f aca="false">IF(A32&lt;=상수!$B$34,F31+E31,"")</f>
        <v>205461</v>
      </c>
      <c r="G32" s="18" t="n">
        <f aca="false">상수!$B$3*A32+상수!$B$4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8" t="n">
        <f aca="false">IF(A33&lt;=상수!$B$34,상수!$B$18+상수!$B$19*A33,"")</f>
        <v>420</v>
      </c>
      <c r="D33" s="18" t="n">
        <f aca="false">IF(A33&lt;=상수!$B$34,상수!$B$20+상수!$B$21*A33,"")</f>
        <v>164</v>
      </c>
      <c r="E33" s="19" t="n">
        <f aca="false">IF(A33&lt;상수!$B$34,ROUND(상수!$B$30*A33^상수!$B$31,0),"")</f>
        <v>18102</v>
      </c>
      <c r="F33" s="19" t="n">
        <f aca="false">IF(A33&lt;=상수!$B$34,F32+E32,"")</f>
        <v>222721</v>
      </c>
      <c r="G33" s="18" t="n">
        <f aca="false">상수!$B$3*A33+상수!$B$4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8" t="n">
        <f aca="false">IF(A34&lt;=상수!$B$34,상수!$B$18+상수!$B$19*A34,"")</f>
        <v>430</v>
      </c>
      <c r="D34" s="18" t="n">
        <f aca="false">IF(A34&lt;=상수!$B$34,상수!$B$20+상수!$B$21*A34,"")</f>
        <v>166</v>
      </c>
      <c r="E34" s="19" t="n">
        <f aca="false">IF(A34&lt;상수!$B$34,ROUND(상수!$B$30*A34^상수!$B$31,0),"")</f>
        <v>18957</v>
      </c>
      <c r="F34" s="19" t="n">
        <f aca="false">IF(A34&lt;=상수!$B$34,F33+E33,"")</f>
        <v>240823</v>
      </c>
      <c r="G34" s="18" t="n">
        <f aca="false">상수!$B$3*A34+상수!$B$4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8" t="n">
        <f aca="false">IF(A35&lt;=상수!$B$34,상수!$B$18+상수!$B$19*A35,"")</f>
        <v>440</v>
      </c>
      <c r="D35" s="18" t="n">
        <f aca="false">IF(A35&lt;=상수!$B$34,상수!$B$20+상수!$B$21*A35,"")</f>
        <v>168</v>
      </c>
      <c r="E35" s="19" t="n">
        <f aca="false">IF(A35&lt;상수!$B$34,ROUND(상수!$B$30*A35^상수!$B$31,0),"")</f>
        <v>19825</v>
      </c>
      <c r="F35" s="19" t="n">
        <f aca="false">IF(A35&lt;=상수!$B$34,F34+E34,"")</f>
        <v>259780</v>
      </c>
      <c r="G35" s="18" t="n">
        <f aca="false">상수!$B$3*A35+상수!$B$4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8" t="n">
        <f aca="false">IF(A36&lt;=상수!$B$34,상수!$B$18+상수!$B$19*A36,"")</f>
        <v>450</v>
      </c>
      <c r="D36" s="18" t="n">
        <f aca="false">IF(A36&lt;=상수!$B$34,상수!$B$20+상수!$B$21*A36,"")</f>
        <v>170</v>
      </c>
      <c r="E36" s="19" t="n">
        <f aca="false">IF(A36&lt;상수!$B$34,ROUND(상수!$B$30*A36^상수!$B$31,0),"")</f>
        <v>20706</v>
      </c>
      <c r="F36" s="19" t="n">
        <f aca="false">IF(A36&lt;=상수!$B$34,F35+E35,"")</f>
        <v>279605</v>
      </c>
      <c r="G36" s="18" t="n">
        <f aca="false">상수!$B$3*A36+상수!$B$4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8" t="n">
        <f aca="false">IF(A37&lt;=상수!$B$34,상수!$B$18+상수!$B$19*A37,"")</f>
        <v>460</v>
      </c>
      <c r="D37" s="18" t="n">
        <f aca="false">IF(A37&lt;=상수!$B$34,상수!$B$20+상수!$B$21*A37,"")</f>
        <v>172</v>
      </c>
      <c r="E37" s="19" t="n">
        <f aca="false">IF(A37&lt;상수!$B$34,ROUND(상수!$B$30*A37^상수!$B$31,0),"")</f>
        <v>21600</v>
      </c>
      <c r="F37" s="19" t="n">
        <f aca="false">IF(A37&lt;=상수!$B$34,F36+E36,"")</f>
        <v>300311</v>
      </c>
      <c r="G37" s="18" t="n">
        <f aca="false">상수!$B$3*A37+상수!$B$4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8" t="n">
        <f aca="false">IF(A38&lt;=상수!$B$34,상수!$B$18+상수!$B$19*A38,"")</f>
        <v>470</v>
      </c>
      <c r="D38" s="18" t="n">
        <f aca="false">IF(A38&lt;=상수!$B$34,상수!$B$20+상수!$B$21*A38,"")</f>
        <v>174</v>
      </c>
      <c r="E38" s="19" t="n">
        <f aca="false">IF(A38&lt;상수!$B$34,ROUND(상수!$B$30*A38^상수!$B$31,0),"")</f>
        <v>22506</v>
      </c>
      <c r="F38" s="19" t="n">
        <f aca="false">IF(A38&lt;=상수!$B$34,F37+E37,"")</f>
        <v>321911</v>
      </c>
      <c r="G38" s="18" t="n">
        <f aca="false">상수!$B$3*A38+상수!$B$4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8" t="n">
        <f aca="false">IF(A39&lt;=상수!$B$34,상수!$B$18+상수!$B$19*A39,"")</f>
        <v>480</v>
      </c>
      <c r="D39" s="18" t="n">
        <f aca="false">IF(A39&lt;=상수!$B$34,상수!$B$20+상수!$B$21*A39,"")</f>
        <v>176</v>
      </c>
      <c r="E39" s="19" t="n">
        <f aca="false">IF(A39&lt;상수!$B$34,ROUND(상수!$B$30*A39^상수!$B$31,0),"")</f>
        <v>23425</v>
      </c>
      <c r="F39" s="19" t="n">
        <f aca="false">IF(A39&lt;=상수!$B$34,F38+E38,"")</f>
        <v>344417</v>
      </c>
      <c r="G39" s="18" t="n">
        <f aca="false">상수!$B$3*A39+상수!$B$4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8" t="n">
        <f aca="false">IF(A40&lt;=상수!$B$34,상수!$B$18+상수!$B$19*A40,"")</f>
        <v>490</v>
      </c>
      <c r="D40" s="18" t="n">
        <f aca="false">IF(A40&lt;=상수!$B$34,상수!$B$20+상수!$B$21*A40,"")</f>
        <v>178</v>
      </c>
      <c r="E40" s="19" t="n">
        <f aca="false">IF(A40&lt;상수!$B$34,ROUND(상수!$B$30*A40^상수!$B$31,0),"")</f>
        <v>24355</v>
      </c>
      <c r="F40" s="19" t="n">
        <f aca="false">IF(A40&lt;=상수!$B$34,F39+E39,"")</f>
        <v>367842</v>
      </c>
      <c r="G40" s="18" t="n">
        <f aca="false">상수!$B$3*A40+상수!$B$4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8" t="n">
        <f aca="false">IF(A41&lt;=상수!$B$34,상수!$B$18+상수!$B$19*A41,"")</f>
        <v>500</v>
      </c>
      <c r="D41" s="18" t="n">
        <f aca="false">IF(A41&lt;=상수!$B$34,상수!$B$20+상수!$B$21*A41,"")</f>
        <v>180</v>
      </c>
      <c r="E41" s="19" t="n">
        <f aca="false">IF(A41&lt;상수!$B$34,ROUND(상수!$B$30*A41^상수!$B$31,0),"")</f>
        <v>25298</v>
      </c>
      <c r="F41" s="19" t="n">
        <f aca="false">IF(A41&lt;=상수!$B$34,F40+E40,"")</f>
        <v>392197</v>
      </c>
      <c r="G41" s="18" t="n">
        <f aca="false">상수!$B$3*A41+상수!$B$4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8" t="n">
        <f aca="false">IF(A42&lt;=상수!$B$34,상수!$B$18+상수!$B$19*A42,"")</f>
        <v>510</v>
      </c>
      <c r="D42" s="18" t="n">
        <f aca="false">IF(A42&lt;=상수!$B$34,상수!$B$20+상수!$B$21*A42,"")</f>
        <v>182</v>
      </c>
      <c r="E42" s="19" t="n">
        <f aca="false">IF(A42&lt;상수!$B$34,ROUND(상수!$B$30*A42^상수!$B$31,0),"")</f>
        <v>26253</v>
      </c>
      <c r="F42" s="19" t="n">
        <f aca="false">IF(A42&lt;=상수!$B$34,F41+E41,"")</f>
        <v>417495</v>
      </c>
      <c r="G42" s="18" t="n">
        <f aca="false">상수!$B$3*A42+상수!$B$4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8" t="n">
        <f aca="false">IF(A43&lt;=상수!$B$34,상수!$B$18+상수!$B$19*A43,"")</f>
        <v>520</v>
      </c>
      <c r="D43" s="18" t="n">
        <f aca="false">IF(A43&lt;=상수!$B$34,상수!$B$20+상수!$B$21*A43,"")</f>
        <v>184</v>
      </c>
      <c r="E43" s="19" t="n">
        <f aca="false">IF(A43&lt;상수!$B$34,ROUND(상수!$B$30*A43^상수!$B$31,0),"")</f>
        <v>27219</v>
      </c>
      <c r="F43" s="19" t="n">
        <f aca="false">IF(A43&lt;=상수!$B$34,F42+E42,"")</f>
        <v>443748</v>
      </c>
      <c r="G43" s="18" t="n">
        <f aca="false">상수!$B$3*A43+상수!$B$4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8" t="n">
        <f aca="false">IF(A44&lt;=상수!$B$34,상수!$B$18+상수!$B$19*A44,"")</f>
        <v>530</v>
      </c>
      <c r="D44" s="18" t="n">
        <f aca="false">IF(A44&lt;=상수!$B$34,상수!$B$20+상수!$B$21*A44,"")</f>
        <v>186</v>
      </c>
      <c r="E44" s="19" t="n">
        <f aca="false">IF(A44&lt;상수!$B$34,ROUND(상수!$B$30*A44^상수!$B$31,0),"")</f>
        <v>28197</v>
      </c>
      <c r="F44" s="19" t="n">
        <f aca="false">IF(A44&lt;=상수!$B$34,F43+E43,"")</f>
        <v>470967</v>
      </c>
      <c r="G44" s="18" t="n">
        <f aca="false">상수!$B$3*A44+상수!$B$4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8" t="n">
        <f aca="false">IF(A45&lt;=상수!$B$34,상수!$B$18+상수!$B$19*A45,"")</f>
        <v>540</v>
      </c>
      <c r="D45" s="18" t="n">
        <f aca="false">IF(A45&lt;=상수!$B$34,상수!$B$20+상수!$B$21*A45,"")</f>
        <v>188</v>
      </c>
      <c r="E45" s="19" t="n">
        <f aca="false">IF(A45&lt;상수!$B$34,ROUND(상수!$B$30*A45^상수!$B$31,0),"")</f>
        <v>29186</v>
      </c>
      <c r="F45" s="19" t="n">
        <f aca="false">IF(A45&lt;=상수!$B$34,F44+E44,"")</f>
        <v>499164</v>
      </c>
      <c r="G45" s="18" t="n">
        <f aca="false">상수!$B$3*A45+상수!$B$4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8" t="n">
        <f aca="false">IF(A46&lt;=상수!$B$34,상수!$B$18+상수!$B$19*A46,"")</f>
        <v>550</v>
      </c>
      <c r="D46" s="18" t="n">
        <f aca="false">IF(A46&lt;=상수!$B$34,상수!$B$20+상수!$B$21*A46,"")</f>
        <v>190</v>
      </c>
      <c r="E46" s="19" t="n">
        <f aca="false">IF(A46&lt;상수!$B$34,ROUND(상수!$B$30*A46^상수!$B$31,0),"")</f>
        <v>30187</v>
      </c>
      <c r="F46" s="19" t="n">
        <f aca="false">IF(A46&lt;=상수!$B$34,F45+E45,"")</f>
        <v>528350</v>
      </c>
      <c r="G46" s="18" t="n">
        <f aca="false">상수!$B$3*A46+상수!$B$4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8" t="n">
        <f aca="false">IF(A47&lt;=상수!$B$34,상수!$B$18+상수!$B$19*A47,"")</f>
        <v>560</v>
      </c>
      <c r="D47" s="18" t="n">
        <f aca="false">IF(A47&lt;=상수!$B$34,상수!$B$20+상수!$B$21*A47,"")</f>
        <v>192</v>
      </c>
      <c r="E47" s="19" t="n">
        <f aca="false">IF(A47&lt;상수!$B$34,ROUND(상수!$B$30*A47^상수!$B$31,0),"")</f>
        <v>31199</v>
      </c>
      <c r="F47" s="19" t="n">
        <f aca="false">IF(A47&lt;=상수!$B$34,F46+E46,"")</f>
        <v>558537</v>
      </c>
      <c r="G47" s="18" t="n">
        <f aca="false">상수!$B$3*A47+상수!$B$4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8" t="n">
        <f aca="false">IF(A48&lt;=상수!$B$34,상수!$B$18+상수!$B$19*A48,"")</f>
        <v>570</v>
      </c>
      <c r="D48" s="18" t="n">
        <f aca="false">IF(A48&lt;=상수!$B$34,상수!$B$20+상수!$B$21*A48,"")</f>
        <v>194</v>
      </c>
      <c r="E48" s="19" t="n">
        <f aca="false">IF(A48&lt;상수!$B$34,ROUND(상수!$B$30*A48^상수!$B$31,0),"")</f>
        <v>32222</v>
      </c>
      <c r="F48" s="19" t="n">
        <f aca="false">IF(A48&lt;=상수!$B$34,F47+E47,"")</f>
        <v>589736</v>
      </c>
      <c r="G48" s="18" t="n">
        <f aca="false">상수!$B$3*A48+상수!$B$4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8" t="n">
        <f aca="false">IF(A49&lt;=상수!$B$34,상수!$B$18+상수!$B$19*A49,"")</f>
        <v>580</v>
      </c>
      <c r="D49" s="18" t="n">
        <f aca="false">IF(A49&lt;=상수!$B$34,상수!$B$20+상수!$B$21*A49,"")</f>
        <v>196</v>
      </c>
      <c r="E49" s="19" t="n">
        <f aca="false">IF(A49&lt;상수!$B$34,ROUND(상수!$B$30*A49^상수!$B$31,0),"")</f>
        <v>33255</v>
      </c>
      <c r="F49" s="19" t="n">
        <f aca="false">IF(A49&lt;=상수!$B$34,F48+E48,"")</f>
        <v>621958</v>
      </c>
      <c r="G49" s="18" t="n">
        <f aca="false">상수!$B$3*A49+상수!$B$4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8" t="n">
        <f aca="false">IF(A50&lt;=상수!$B$34,상수!$B$18+상수!$B$19*A50,"")</f>
        <v>590</v>
      </c>
      <c r="D50" s="18" t="n">
        <f aca="false">IF(A50&lt;=상수!$B$34,상수!$B$20+상수!$B$21*A50,"")</f>
        <v>198</v>
      </c>
      <c r="E50" s="19" t="n">
        <f aca="false">IF(A50&lt;상수!$B$34,ROUND(상수!$B$30*A50^상수!$B$31,0),"")</f>
        <v>34300</v>
      </c>
      <c r="F50" s="19" t="n">
        <f aca="false">IF(A50&lt;=상수!$B$34,F49+E49,"")</f>
        <v>655213</v>
      </c>
      <c r="G50" s="18" t="n">
        <f aca="false">상수!$B$3*A50+상수!$B$4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8" t="n">
        <f aca="false">IF(A51&lt;=상수!$B$34,상수!$B$18+상수!$B$19*A51,"")</f>
        <v>600</v>
      </c>
      <c r="D51" s="18" t="n">
        <f aca="false">IF(A51&lt;=상수!$B$34,상수!$B$20+상수!$B$21*A51,"")</f>
        <v>200</v>
      </c>
      <c r="E51" s="19" t="str">
        <f aca="false">IF(A51&lt;상수!$B$34,ROUND(상수!$B$30*A51^상수!$B$31,0),"")</f>
        <v/>
      </c>
      <c r="F51" s="19" t="n">
        <f aca="false">IF(A51&lt;=상수!$B$34,F50+E50,"")</f>
        <v>689513</v>
      </c>
      <c r="G51" s="18" t="n">
        <f aca="false">상수!$B$3*A51+상수!$B$4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8" t="str">
        <f aca="false">IF(A52&lt;=상수!$B$34,상수!$B$18+상수!$B$19*A52,"")</f>
        <v/>
      </c>
      <c r="D52" s="18" t="str">
        <f aca="false">IF(A52&lt;=상수!$B$34,상수!$B$20+상수!$B$21*A52,"")</f>
        <v/>
      </c>
      <c r="E52" s="19" t="str">
        <f aca="false">IF(A52&lt;상수!$B$34,ROUND(상수!$B$30*A52^상수!$B$31,0),"")</f>
        <v/>
      </c>
      <c r="F52" s="19" t="str">
        <f aca="false">IF(A52&lt;=상수!$B$34,F51+E51,"")</f>
        <v/>
      </c>
      <c r="G52" s="18" t="n">
        <f aca="false">상수!$B$3*A52+상수!$B$4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8" t="str">
        <f aca="false">IF(A53&lt;=상수!$B$34,상수!$B$18+상수!$B$19*A53,"")</f>
        <v/>
      </c>
      <c r="D53" s="18" t="str">
        <f aca="false">IF(A53&lt;=상수!$B$34,상수!$B$20+상수!$B$21*A53,"")</f>
        <v/>
      </c>
      <c r="E53" s="19" t="str">
        <f aca="false">IF(A53&lt;상수!$B$34,ROUND(상수!$B$30*A53^상수!$B$31,0),"")</f>
        <v/>
      </c>
      <c r="F53" s="19" t="str">
        <f aca="false">IF(A53&lt;=상수!$B$34,F52+E52,"")</f>
        <v/>
      </c>
      <c r="G53" s="18" t="n">
        <f aca="false">상수!$B$3*A53+상수!$B$4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8" t="str">
        <f aca="false">IF(A54&lt;=상수!$B$34,상수!$B$18+상수!$B$19*A54,"")</f>
        <v/>
      </c>
      <c r="D54" s="18" t="str">
        <f aca="false">IF(A54&lt;=상수!$B$34,상수!$B$20+상수!$B$21*A54,"")</f>
        <v/>
      </c>
      <c r="E54" s="19" t="str">
        <f aca="false">IF(A54&lt;상수!$B$34,ROUND(상수!$B$30*A54^상수!$B$31,0),"")</f>
        <v/>
      </c>
      <c r="F54" s="19" t="str">
        <f aca="false">IF(A54&lt;=상수!$B$34,F53+E53,"")</f>
        <v/>
      </c>
      <c r="G54" s="18" t="n">
        <f aca="false">상수!$B$3*A54+상수!$B$4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8" t="str">
        <f aca="false">IF(A55&lt;=상수!$B$34,상수!$B$18+상수!$B$19*A55,"")</f>
        <v/>
      </c>
      <c r="D55" s="18" t="str">
        <f aca="false">IF(A55&lt;=상수!$B$34,상수!$B$20+상수!$B$21*A55,"")</f>
        <v/>
      </c>
      <c r="E55" s="19" t="str">
        <f aca="false">IF(A55&lt;상수!$B$34,ROUND(상수!$B$30*A55^상수!$B$31,0),"")</f>
        <v/>
      </c>
      <c r="F55" s="19" t="str">
        <f aca="false">IF(A55&lt;=상수!$B$34,F54+E54,"")</f>
        <v/>
      </c>
      <c r="G55" s="18" t="n">
        <f aca="false">상수!$B$3*A55+상수!$B$4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8" t="str">
        <f aca="false">IF(A56&lt;=상수!$B$34,상수!$B$18+상수!$B$19*A56,"")</f>
        <v/>
      </c>
      <c r="D56" s="18" t="str">
        <f aca="false">IF(A56&lt;=상수!$B$34,상수!$B$20+상수!$B$21*A56,"")</f>
        <v/>
      </c>
      <c r="E56" s="19" t="str">
        <f aca="false">IF(A56&lt;상수!$B$34,ROUND(상수!$B$30*A56^상수!$B$31,0),"")</f>
        <v/>
      </c>
      <c r="F56" s="19" t="str">
        <f aca="false">IF(A56&lt;=상수!$B$34,F55+E55,"")</f>
        <v/>
      </c>
      <c r="G56" s="18" t="n">
        <f aca="false">상수!$B$3*A56+상수!$B$4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120</v>
      </c>
      <c r="B1" s="16" t="s">
        <v>121</v>
      </c>
      <c r="C1" s="16" t="s">
        <v>122</v>
      </c>
      <c r="D1" s="16" t="s">
        <v>123</v>
      </c>
      <c r="E1" s="16" t="s">
        <v>124</v>
      </c>
      <c r="F1" s="16" t="s">
        <v>73</v>
      </c>
      <c r="G1" s="16" t="s">
        <v>125</v>
      </c>
      <c r="H1" s="16" t="s">
        <v>126</v>
      </c>
      <c r="I1" s="16" t="s">
        <v>127</v>
      </c>
      <c r="J1" s="16" t="s">
        <v>128</v>
      </c>
      <c r="K1" s="16" t="s">
        <v>129</v>
      </c>
      <c r="L1" s="16" t="s">
        <v>130</v>
      </c>
      <c r="M1" s="16" t="s">
        <v>131</v>
      </c>
      <c r="N1" s="16" t="s">
        <v>132</v>
      </c>
      <c r="O1" s="16" t="s">
        <v>133</v>
      </c>
      <c r="P1" s="16" t="s">
        <v>134</v>
      </c>
      <c r="Q1" s="16" t="s">
        <v>135</v>
      </c>
    </row>
    <row r="2" customFormat="false" ht="15" hidden="false" customHeight="false" outlineLevel="0" collapsed="false">
      <c r="A2" s="11" t="s">
        <v>136</v>
      </c>
      <c r="B2" s="13" t="s">
        <v>137</v>
      </c>
      <c r="C2" s="13" t="s">
        <v>137</v>
      </c>
      <c r="D2" s="11" t="n">
        <v>1</v>
      </c>
      <c r="E2" s="13" t="s">
        <v>138</v>
      </c>
      <c r="F2" s="20" t="n">
        <v>30</v>
      </c>
      <c r="G2" s="20" t="n">
        <v>5</v>
      </c>
      <c r="H2" s="21" t="n">
        <v>1.5</v>
      </c>
      <c r="I2" s="20" t="s">
        <v>139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140</v>
      </c>
    </row>
    <row r="3" customFormat="false" ht="15" hidden="false" customHeight="false" outlineLevel="0" collapsed="false">
      <c r="A3" s="11" t="s">
        <v>141</v>
      </c>
      <c r="B3" s="13" t="s">
        <v>142</v>
      </c>
      <c r="C3" s="13" t="s">
        <v>137</v>
      </c>
      <c r="D3" s="11" t="n">
        <v>1</v>
      </c>
      <c r="E3" s="13" t="s">
        <v>143</v>
      </c>
      <c r="F3" s="20" t="n">
        <v>24</v>
      </c>
      <c r="G3" s="20" t="n">
        <v>5</v>
      </c>
      <c r="H3" s="21" t="n">
        <v>1.2</v>
      </c>
      <c r="I3" s="20" t="s">
        <v>139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144</v>
      </c>
      <c r="B4" s="13" t="s">
        <v>145</v>
      </c>
      <c r="C4" s="13" t="s">
        <v>137</v>
      </c>
      <c r="D4" s="11" t="n">
        <v>1</v>
      </c>
      <c r="E4" s="13" t="s">
        <v>146</v>
      </c>
      <c r="F4" s="20" t="n">
        <v>36</v>
      </c>
      <c r="G4" s="20" t="n">
        <v>5</v>
      </c>
      <c r="H4" s="21" t="n">
        <v>1.5</v>
      </c>
      <c r="I4" s="20" t="s">
        <v>147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148</v>
      </c>
    </row>
    <row r="5" customFormat="false" ht="15" hidden="false" customHeight="false" outlineLevel="0" collapsed="false">
      <c r="A5" s="11" t="s">
        <v>149</v>
      </c>
      <c r="B5" s="13" t="s">
        <v>150</v>
      </c>
      <c r="C5" s="13" t="s">
        <v>150</v>
      </c>
      <c r="D5" s="11" t="n">
        <v>1</v>
      </c>
      <c r="E5" s="13" t="s">
        <v>151</v>
      </c>
      <c r="F5" s="20" t="n">
        <v>18</v>
      </c>
      <c r="G5" s="20" t="n">
        <v>4</v>
      </c>
      <c r="H5" s="21" t="n">
        <v>1</v>
      </c>
      <c r="I5" s="20" t="s">
        <v>139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152</v>
      </c>
    </row>
    <row r="6" customFormat="false" ht="15" hidden="false" customHeight="false" outlineLevel="0" collapsed="false">
      <c r="A6" s="11" t="s">
        <v>153</v>
      </c>
      <c r="B6" s="13" t="s">
        <v>154</v>
      </c>
      <c r="C6" s="13" t="s">
        <v>154</v>
      </c>
      <c r="D6" s="11" t="n">
        <v>1</v>
      </c>
      <c r="E6" s="13" t="s">
        <v>155</v>
      </c>
      <c r="F6" s="20" t="n">
        <v>20</v>
      </c>
      <c r="G6" s="20" t="n">
        <v>6</v>
      </c>
      <c r="H6" s="21" t="n">
        <v>2</v>
      </c>
      <c r="I6" s="20" t="s">
        <v>156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157</v>
      </c>
    </row>
    <row r="7" customFormat="false" ht="15" hidden="false" customHeight="false" outlineLevel="0" collapsed="false">
      <c r="A7" s="11" t="s">
        <v>158</v>
      </c>
      <c r="B7" s="13" t="s">
        <v>159</v>
      </c>
      <c r="C7" s="13" t="s">
        <v>159</v>
      </c>
      <c r="D7" s="11" t="n">
        <v>1</v>
      </c>
      <c r="E7" s="13" t="s">
        <v>160</v>
      </c>
      <c r="F7" s="20" t="n">
        <v>90</v>
      </c>
      <c r="G7" s="20" t="n">
        <v>12</v>
      </c>
      <c r="H7" s="21" t="n">
        <v>2.5</v>
      </c>
      <c r="I7" s="20" t="s">
        <v>139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161</v>
      </c>
    </row>
    <row r="8" customFormat="false" ht="15" hidden="false" customHeight="false" outlineLevel="0" collapsed="false">
      <c r="A8" s="11" t="s">
        <v>162</v>
      </c>
      <c r="B8" s="13" t="s">
        <v>163</v>
      </c>
      <c r="C8" s="13" t="s">
        <v>163</v>
      </c>
      <c r="D8" s="11" t="n">
        <v>1</v>
      </c>
      <c r="E8" s="13" t="s">
        <v>164</v>
      </c>
      <c r="F8" s="20" t="n">
        <v>120</v>
      </c>
      <c r="G8" s="20" t="n">
        <v>10</v>
      </c>
      <c r="H8" s="21" t="n">
        <v>2.5</v>
      </c>
      <c r="I8" s="20" t="s">
        <v>139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165</v>
      </c>
      <c r="B9" s="13" t="s">
        <v>166</v>
      </c>
      <c r="C9" s="13" t="s">
        <v>166</v>
      </c>
      <c r="D9" s="11" t="n">
        <v>1</v>
      </c>
      <c r="E9" s="13" t="s">
        <v>167</v>
      </c>
      <c r="F9" s="20" t="n">
        <v>80</v>
      </c>
      <c r="G9" s="20" t="n">
        <v>8</v>
      </c>
      <c r="H9" s="21" t="n">
        <v>1.5</v>
      </c>
      <c r="I9" s="20" t="s">
        <v>168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169</v>
      </c>
    </row>
    <row r="10" customFormat="false" ht="15" hidden="false" customHeight="false" outlineLevel="0" collapsed="false">
      <c r="A10" s="11" t="s">
        <v>170</v>
      </c>
      <c r="B10" s="13" t="s">
        <v>171</v>
      </c>
      <c r="C10" s="13" t="s">
        <v>171</v>
      </c>
      <c r="D10" s="11" t="n">
        <v>1</v>
      </c>
      <c r="E10" s="11" t="s">
        <v>172</v>
      </c>
      <c r="F10" s="20" t="n">
        <v>1500</v>
      </c>
      <c r="G10" s="20" t="n">
        <v>18</v>
      </c>
      <c r="H10" s="21" t="n">
        <v>1.8</v>
      </c>
      <c r="I10" s="20" t="s">
        <v>139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120</v>
      </c>
      <c r="B1" s="16" t="s">
        <v>121</v>
      </c>
      <c r="C1" s="16" t="s">
        <v>174</v>
      </c>
      <c r="D1" s="16" t="s">
        <v>175</v>
      </c>
      <c r="E1" s="16" t="s">
        <v>176</v>
      </c>
      <c r="F1" s="16" t="s">
        <v>177</v>
      </c>
      <c r="G1" s="16" t="s">
        <v>178</v>
      </c>
      <c r="H1" s="16" t="s">
        <v>179</v>
      </c>
      <c r="I1" s="16" t="s">
        <v>180</v>
      </c>
      <c r="J1" s="16" t="s">
        <v>181</v>
      </c>
      <c r="K1" s="16" t="s">
        <v>182</v>
      </c>
      <c r="L1" s="16" t="s">
        <v>183</v>
      </c>
      <c r="M1" s="16" t="s">
        <v>184</v>
      </c>
      <c r="N1" s="16" t="s">
        <v>185</v>
      </c>
      <c r="O1" s="16" t="s">
        <v>186</v>
      </c>
      <c r="P1" s="16" t="s">
        <v>187</v>
      </c>
      <c r="Q1" s="16" t="s">
        <v>188</v>
      </c>
      <c r="R1" s="16" t="s">
        <v>189</v>
      </c>
      <c r="S1" s="16" t="s">
        <v>190</v>
      </c>
      <c r="T1" s="16" t="s">
        <v>191</v>
      </c>
    </row>
    <row r="2" customFormat="false" ht="15" hidden="false" customHeight="false" outlineLevel="0" collapsed="false">
      <c r="A2" s="11" t="s">
        <v>192</v>
      </c>
      <c r="B2" s="13" t="s">
        <v>193</v>
      </c>
      <c r="C2" s="11" t="s">
        <v>194</v>
      </c>
      <c r="D2" s="11" t="s">
        <v>195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196</v>
      </c>
      <c r="O2" s="22" t="s">
        <v>196</v>
      </c>
      <c r="P2" s="22"/>
      <c r="Q2" s="22" t="s">
        <v>196</v>
      </c>
      <c r="R2" s="22" t="s">
        <v>196</v>
      </c>
      <c r="S2" s="22" t="s">
        <v>196</v>
      </c>
      <c r="T2" s="22"/>
    </row>
    <row r="3" customFormat="false" ht="15" hidden="false" customHeight="false" outlineLevel="0" collapsed="false">
      <c r="A3" s="11" t="s">
        <v>197</v>
      </c>
      <c r="B3" s="13" t="s">
        <v>198</v>
      </c>
      <c r="C3" s="11" t="s">
        <v>199</v>
      </c>
      <c r="D3" s="11" t="s">
        <v>200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196</v>
      </c>
      <c r="M3" s="22"/>
      <c r="N3" s="22"/>
      <c r="O3" s="22"/>
      <c r="P3" s="22" t="s">
        <v>196</v>
      </c>
      <c r="Q3" s="22"/>
      <c r="R3" s="22"/>
      <c r="S3" s="22" t="s">
        <v>196</v>
      </c>
      <c r="T3" s="22" t="s">
        <v>196</v>
      </c>
    </row>
    <row r="4" customFormat="false" ht="15" hidden="false" customHeight="false" outlineLevel="0" collapsed="false">
      <c r="A4" s="11" t="s">
        <v>201</v>
      </c>
      <c r="B4" s="13" t="s">
        <v>202</v>
      </c>
      <c r="C4" s="11" t="s">
        <v>203</v>
      </c>
      <c r="D4" s="11" t="s">
        <v>200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196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204</v>
      </c>
      <c r="B5" s="13" t="s">
        <v>205</v>
      </c>
      <c r="C5" s="11" t="s">
        <v>206</v>
      </c>
      <c r="D5" s="11" t="s">
        <v>200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196</v>
      </c>
      <c r="N5" s="22"/>
      <c r="O5" s="22"/>
      <c r="P5" s="22"/>
      <c r="Q5" s="22"/>
      <c r="R5" s="22"/>
      <c r="S5" s="22" t="s">
        <v>196</v>
      </c>
      <c r="T5" s="22"/>
    </row>
    <row r="6" customFormat="false" ht="15" hidden="false" customHeight="false" outlineLevel="0" collapsed="false">
      <c r="A6" s="11" t="s">
        <v>207</v>
      </c>
      <c r="B6" s="13" t="s">
        <v>208</v>
      </c>
      <c r="C6" s="11" t="s">
        <v>209</v>
      </c>
      <c r="D6" s="11" t="s">
        <v>200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196</v>
      </c>
      <c r="N6" s="22"/>
      <c r="O6" s="22"/>
      <c r="P6" s="22"/>
      <c r="Q6" s="22"/>
      <c r="R6" s="22"/>
      <c r="S6" s="22" t="s">
        <v>196</v>
      </c>
      <c r="T6" s="22"/>
    </row>
    <row r="7" customFormat="false" ht="15" hidden="false" customHeight="false" outlineLevel="0" collapsed="false">
      <c r="A7" s="11" t="s">
        <v>210</v>
      </c>
      <c r="B7" s="13" t="s">
        <v>211</v>
      </c>
      <c r="C7" s="11" t="s">
        <v>212</v>
      </c>
      <c r="D7" s="11" t="s">
        <v>195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196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213</v>
      </c>
      <c r="B8" s="13" t="s">
        <v>214</v>
      </c>
      <c r="C8" s="11" t="s">
        <v>215</v>
      </c>
      <c r="D8" s="11" t="s">
        <v>200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196</v>
      </c>
      <c r="M8" s="22"/>
      <c r="N8" s="22"/>
      <c r="O8" s="22"/>
      <c r="P8" s="22" t="s">
        <v>196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216</v>
      </c>
      <c r="B9" s="13" t="s">
        <v>217</v>
      </c>
      <c r="C9" s="11" t="s">
        <v>218</v>
      </c>
      <c r="D9" s="11" t="s">
        <v>195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196</v>
      </c>
      <c r="Q9" s="22"/>
      <c r="R9" s="22"/>
      <c r="S9" s="22" t="s">
        <v>196</v>
      </c>
      <c r="T9" s="22" t="s">
        <v>196</v>
      </c>
    </row>
    <row r="10" customFormat="false" ht="15" hidden="false" customHeight="false" outlineLevel="0" collapsed="false">
      <c r="A10" s="11" t="s">
        <v>219</v>
      </c>
      <c r="B10" s="13" t="s">
        <v>220</v>
      </c>
      <c r="C10" s="11" t="s">
        <v>221</v>
      </c>
      <c r="D10" s="11" t="s">
        <v>195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196</v>
      </c>
      <c r="M10" s="22"/>
      <c r="N10" s="22"/>
      <c r="O10" s="22"/>
      <c r="P10" s="22"/>
      <c r="Q10" s="22"/>
      <c r="R10" s="22"/>
      <c r="S10" s="22" t="s">
        <v>196</v>
      </c>
      <c r="T10" s="22" t="s">
        <v>196</v>
      </c>
    </row>
    <row r="11" customFormat="false" ht="15" hidden="false" customHeight="false" outlineLevel="0" collapsed="false">
      <c r="A11" s="11" t="s">
        <v>222</v>
      </c>
      <c r="B11" s="13" t="s">
        <v>223</v>
      </c>
      <c r="C11" s="11" t="s">
        <v>128</v>
      </c>
      <c r="D11" s="11" t="s">
        <v>195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196</v>
      </c>
      <c r="O11" s="22"/>
      <c r="P11" s="22" t="s">
        <v>196</v>
      </c>
      <c r="Q11" s="22" t="s">
        <v>196</v>
      </c>
      <c r="R11" s="22" t="s">
        <v>196</v>
      </c>
      <c r="S11" s="22"/>
      <c r="T11" s="22"/>
    </row>
    <row r="12" customFormat="false" ht="15" hidden="false" customHeight="false" outlineLevel="0" collapsed="false">
      <c r="A12" s="11" t="s">
        <v>224</v>
      </c>
      <c r="B12" s="13" t="s">
        <v>225</v>
      </c>
      <c r="C12" s="11" t="s">
        <v>226</v>
      </c>
      <c r="D12" s="11" t="s">
        <v>200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196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227</v>
      </c>
      <c r="B13" s="13" t="s">
        <v>228</v>
      </c>
      <c r="C13" s="11" t="s">
        <v>129</v>
      </c>
      <c r="D13" s="11" t="s">
        <v>195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196</v>
      </c>
      <c r="O13" s="22" t="s">
        <v>196</v>
      </c>
      <c r="P13" s="22"/>
      <c r="Q13" s="22" t="s">
        <v>196</v>
      </c>
      <c r="R13" s="22" t="s">
        <v>196</v>
      </c>
      <c r="S13" s="22" t="s">
        <v>196</v>
      </c>
      <c r="T13" s="22" t="s">
        <v>196</v>
      </c>
    </row>
    <row r="14" customFormat="false" ht="15" hidden="false" customHeight="false" outlineLevel="0" collapsed="false">
      <c r="A14" s="11" t="s">
        <v>229</v>
      </c>
      <c r="B14" s="13" t="s">
        <v>230</v>
      </c>
      <c r="C14" s="11" t="s">
        <v>130</v>
      </c>
      <c r="D14" s="11" t="s">
        <v>195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196</v>
      </c>
      <c r="O14" s="22" t="s">
        <v>196</v>
      </c>
      <c r="P14" s="22"/>
      <c r="Q14" s="22" t="s">
        <v>196</v>
      </c>
      <c r="R14" s="22" t="s">
        <v>196</v>
      </c>
      <c r="S14" s="22" t="s">
        <v>196</v>
      </c>
      <c r="T14" s="22" t="s">
        <v>196</v>
      </c>
    </row>
    <row r="15" customFormat="false" ht="15" hidden="false" customHeight="false" outlineLevel="0" collapsed="false">
      <c r="A15" s="11" t="s">
        <v>231</v>
      </c>
      <c r="B15" s="13" t="s">
        <v>232</v>
      </c>
      <c r="C15" s="11" t="s">
        <v>131</v>
      </c>
      <c r="D15" s="11" t="s">
        <v>195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196</v>
      </c>
      <c r="O15" s="22" t="s">
        <v>196</v>
      </c>
      <c r="P15" s="22"/>
      <c r="Q15" s="22" t="s">
        <v>196</v>
      </c>
      <c r="R15" s="22" t="s">
        <v>196</v>
      </c>
      <c r="S15" s="22" t="s">
        <v>196</v>
      </c>
      <c r="T15" s="22" t="s">
        <v>196</v>
      </c>
    </row>
    <row r="16" customFormat="false" ht="15" hidden="false" customHeight="false" outlineLevel="0" collapsed="false">
      <c r="A16" s="11" t="s">
        <v>233</v>
      </c>
      <c r="B16" s="13" t="s">
        <v>234</v>
      </c>
      <c r="C16" s="11" t="s">
        <v>132</v>
      </c>
      <c r="D16" s="11" t="s">
        <v>195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196</v>
      </c>
      <c r="O16" s="22" t="s">
        <v>196</v>
      </c>
      <c r="P16" s="22"/>
      <c r="Q16" s="22" t="s">
        <v>196</v>
      </c>
      <c r="R16" s="22" t="s">
        <v>196</v>
      </c>
      <c r="S16" s="22" t="s">
        <v>196</v>
      </c>
      <c r="T16" s="22" t="s">
        <v>196</v>
      </c>
    </row>
    <row r="17" customFormat="false" ht="15" hidden="false" customHeight="false" outlineLevel="0" collapsed="false">
      <c r="A17" s="11" t="s">
        <v>235</v>
      </c>
      <c r="B17" s="13" t="s">
        <v>236</v>
      </c>
      <c r="C17" s="11" t="s">
        <v>237</v>
      </c>
      <c r="D17" s="11" t="s">
        <v>195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196</v>
      </c>
      <c r="T17" s="22"/>
    </row>
    <row r="18" customFormat="false" ht="15" hidden="false" customHeight="false" outlineLevel="0" collapsed="false">
      <c r="A18" s="11" t="s">
        <v>238</v>
      </c>
      <c r="B18" s="13" t="s">
        <v>239</v>
      </c>
      <c r="C18" s="11" t="s">
        <v>240</v>
      </c>
      <c r="D18" s="11" t="s">
        <v>200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196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241</v>
      </c>
      <c r="B19" s="13" t="s">
        <v>242</v>
      </c>
      <c r="C19" s="11" t="s">
        <v>243</v>
      </c>
      <c r="D19" s="11" t="s">
        <v>195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196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244</v>
      </c>
      <c r="B20" s="13" t="s">
        <v>245</v>
      </c>
      <c r="C20" s="11" t="s">
        <v>246</v>
      </c>
      <c r="D20" s="11" t="s">
        <v>195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196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247</v>
      </c>
      <c r="B21" s="13" t="s">
        <v>248</v>
      </c>
      <c r="C21" s="11" t="s">
        <v>249</v>
      </c>
      <c r="D21" s="11" t="s">
        <v>195</v>
      </c>
      <c r="E21" s="14" t="n">
        <v>1</v>
      </c>
      <c r="F21" s="14" t="n">
        <v>5</v>
      </c>
      <c r="G21" s="14" t="n">
        <v>10</v>
      </c>
      <c r="H21" s="14" t="n">
        <v>11</v>
      </c>
      <c r="I21" s="14" t="n">
        <v>20</v>
      </c>
      <c r="J21" s="14" t="n">
        <v>21</v>
      </c>
      <c r="K21" s="14" t="n">
        <v>30</v>
      </c>
      <c r="L21" s="22"/>
      <c r="M21" s="22"/>
      <c r="N21" s="22" t="s">
        <v>196</v>
      </c>
      <c r="O21" s="22"/>
      <c r="P21" s="22"/>
      <c r="Q21" s="22"/>
      <c r="R21" s="22"/>
      <c r="S21" s="22" t="s">
        <v>196</v>
      </c>
      <c r="T21" s="22"/>
    </row>
    <row r="22" customFormat="false" ht="15" hidden="false" customHeight="false" outlineLevel="0" collapsed="false">
      <c r="A22" s="11" t="s">
        <v>250</v>
      </c>
      <c r="B22" s="13" t="s">
        <v>251</v>
      </c>
      <c r="C22" s="11" t="s">
        <v>81</v>
      </c>
      <c r="D22" s="11" t="s">
        <v>195</v>
      </c>
      <c r="E22" s="14" t="n">
        <v>5</v>
      </c>
      <c r="F22" s="21" t="n">
        <v>0.5</v>
      </c>
      <c r="G22" s="21" t="n">
        <v>1</v>
      </c>
      <c r="H22" s="21" t="n">
        <v>1</v>
      </c>
      <c r="I22" s="21" t="n">
        <v>2</v>
      </c>
      <c r="J22" s="21" t="n">
        <v>2</v>
      </c>
      <c r="K22" s="21" t="n">
        <v>3</v>
      </c>
      <c r="L22" s="22"/>
      <c r="M22" s="22"/>
      <c r="N22" s="22"/>
      <c r="O22" s="22"/>
      <c r="P22" s="22"/>
      <c r="Q22" s="22"/>
      <c r="R22" s="22"/>
      <c r="S22" s="22" t="s">
        <v>196</v>
      </c>
      <c r="T22" s="22" t="s">
        <v>196</v>
      </c>
    </row>
    <row r="23" customFormat="false" ht="15" hidden="false" customHeight="false" outlineLevel="0" collapsed="false">
      <c r="A23" s="11" t="s">
        <v>252</v>
      </c>
      <c r="B23" s="13" t="s">
        <v>253</v>
      </c>
      <c r="C23" s="11" t="s">
        <v>254</v>
      </c>
      <c r="D23" s="11" t="s">
        <v>195</v>
      </c>
      <c r="E23" s="14" t="n">
        <v>10</v>
      </c>
      <c r="F23" s="15" t="n">
        <v>0.03</v>
      </c>
      <c r="G23" s="15" t="n">
        <v>0.05</v>
      </c>
      <c r="H23" s="15" t="n">
        <v>0.05</v>
      </c>
      <c r="I23" s="15" t="n">
        <v>0.08</v>
      </c>
      <c r="J23" s="15" t="n">
        <v>0.08</v>
      </c>
      <c r="K23" s="15" t="n">
        <v>0.12</v>
      </c>
      <c r="L23" s="22"/>
      <c r="M23" s="22" t="s">
        <v>196</v>
      </c>
      <c r="N23" s="22"/>
      <c r="O23" s="22"/>
      <c r="P23" s="22"/>
      <c r="Q23" s="22"/>
      <c r="R23" s="22"/>
      <c r="S23" s="22"/>
      <c r="T23" s="22"/>
    </row>
    <row r="24" customFormat="false" ht="15" hidden="false" customHeight="false" outlineLevel="0" collapsed="false">
      <c r="A24" s="11" t="s">
        <v>255</v>
      </c>
      <c r="B24" s="13" t="s">
        <v>256</v>
      </c>
      <c r="C24" s="11" t="s">
        <v>257</v>
      </c>
      <c r="D24" s="11" t="s">
        <v>195</v>
      </c>
      <c r="E24" s="14" t="n">
        <v>10</v>
      </c>
      <c r="F24" s="15" t="n">
        <v>0.03</v>
      </c>
      <c r="G24" s="15" t="n">
        <v>0.05</v>
      </c>
      <c r="H24" s="15" t="n">
        <v>0.05</v>
      </c>
      <c r="I24" s="15" t="n">
        <v>0.08</v>
      </c>
      <c r="J24" s="15" t="n">
        <v>0.08</v>
      </c>
      <c r="K24" s="15" t="n">
        <v>0.12</v>
      </c>
      <c r="L24" s="22"/>
      <c r="M24" s="22" t="s">
        <v>196</v>
      </c>
      <c r="N24" s="22" t="s">
        <v>196</v>
      </c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258</v>
      </c>
      <c r="B25" s="13" t="s">
        <v>259</v>
      </c>
      <c r="C25" s="11" t="s">
        <v>260</v>
      </c>
      <c r="D25" s="11" t="s">
        <v>200</v>
      </c>
      <c r="E25" s="14" t="n">
        <v>1</v>
      </c>
      <c r="F25" s="15" t="n">
        <v>0.03</v>
      </c>
      <c r="G25" s="15" t="n">
        <v>0.05</v>
      </c>
      <c r="H25" s="15" t="n">
        <v>0.06</v>
      </c>
      <c r="I25" s="15" t="n">
        <v>0.1</v>
      </c>
      <c r="J25" s="15" t="n">
        <v>0.1</v>
      </c>
      <c r="K25" s="15" t="n">
        <v>0.15</v>
      </c>
      <c r="L25" s="22"/>
      <c r="M25" s="22"/>
      <c r="N25" s="22"/>
      <c r="O25" s="22"/>
      <c r="P25" s="22"/>
      <c r="Q25" s="22"/>
      <c r="R25" s="22" t="s">
        <v>196</v>
      </c>
      <c r="S25" s="22"/>
      <c r="T25" s="22"/>
    </row>
    <row r="26" customFormat="false" ht="15" hidden="false" customHeight="false" outlineLevel="0" collapsed="false">
      <c r="A26" s="11" t="s">
        <v>261</v>
      </c>
      <c r="B26" s="13" t="s">
        <v>262</v>
      </c>
      <c r="C26" s="11" t="s">
        <v>263</v>
      </c>
      <c r="D26" s="11" t="s">
        <v>200</v>
      </c>
      <c r="E26" s="14" t="n">
        <v>5</v>
      </c>
      <c r="F26" s="15" t="n">
        <v>0.05</v>
      </c>
      <c r="G26" s="15" t="n">
        <v>0.1</v>
      </c>
      <c r="H26" s="15" t="n">
        <v>0.11</v>
      </c>
      <c r="I26" s="15" t="n">
        <v>0.2</v>
      </c>
      <c r="J26" s="15" t="n">
        <v>0.21</v>
      </c>
      <c r="K26" s="15" t="n">
        <v>0.3</v>
      </c>
      <c r="L26" s="22"/>
      <c r="M26" s="22"/>
      <c r="N26" s="22"/>
      <c r="O26" s="22"/>
      <c r="P26" s="22"/>
      <c r="Q26" s="22" t="s">
        <v>196</v>
      </c>
      <c r="R26" s="22"/>
      <c r="S26" s="22"/>
      <c r="T26" s="22"/>
    </row>
    <row r="27" customFormat="false" ht="15" hidden="false" customHeight="false" outlineLevel="0" collapsed="false">
      <c r="A27" s="11" t="s">
        <v>264</v>
      </c>
      <c r="B27" s="13" t="s">
        <v>265</v>
      </c>
      <c r="C27" s="11" t="s">
        <v>266</v>
      </c>
      <c r="D27" s="11" t="s">
        <v>195</v>
      </c>
      <c r="E27" s="14" t="n">
        <v>5</v>
      </c>
      <c r="F27" s="15" t="n">
        <v>0.05</v>
      </c>
      <c r="G27" s="15" t="n">
        <v>0.1</v>
      </c>
      <c r="H27" s="15" t="n">
        <v>0.11</v>
      </c>
      <c r="I27" s="15" t="n">
        <v>0.2</v>
      </c>
      <c r="J27" s="15" t="n">
        <v>0.21</v>
      </c>
      <c r="K27" s="15" t="n">
        <v>0.35</v>
      </c>
      <c r="L27" s="22"/>
      <c r="M27" s="22"/>
      <c r="N27" s="22"/>
      <c r="O27" s="22"/>
      <c r="P27" s="22"/>
      <c r="Q27" s="22"/>
      <c r="R27" s="22"/>
      <c r="S27" s="22"/>
      <c r="T27" s="22" t="s">
        <v>196</v>
      </c>
    </row>
    <row r="28" customFormat="false" ht="15" hidden="false" customHeight="false" outlineLevel="0" collapsed="false">
      <c r="A28" s="11" t="s">
        <v>267</v>
      </c>
      <c r="B28" s="13" t="s">
        <v>268</v>
      </c>
      <c r="C28" s="11" t="s">
        <v>269</v>
      </c>
      <c r="D28" s="11" t="s">
        <v>195</v>
      </c>
      <c r="E28" s="14" t="n">
        <v>1</v>
      </c>
      <c r="F28" s="15" t="n">
        <v>0.1</v>
      </c>
      <c r="G28" s="15" t="n">
        <v>0.2</v>
      </c>
      <c r="H28" s="15" t="n">
        <v>0.21</v>
      </c>
      <c r="I28" s="15" t="n">
        <v>0.4</v>
      </c>
      <c r="J28" s="15" t="n">
        <v>0.41</v>
      </c>
      <c r="K28" s="15" t="n">
        <v>0.6</v>
      </c>
      <c r="L28" s="22"/>
      <c r="M28" s="22"/>
      <c r="N28" s="22"/>
      <c r="O28" s="22"/>
      <c r="P28" s="22"/>
      <c r="Q28" s="22"/>
      <c r="R28" s="22"/>
      <c r="S28" s="22"/>
      <c r="T28" s="22" t="s">
        <v>196</v>
      </c>
    </row>
    <row r="29" customFormat="false" ht="15" hidden="false" customHeight="false" outlineLevel="0" collapsed="false">
      <c r="A29" s="11" t="s">
        <v>270</v>
      </c>
      <c r="B29" s="13" t="s">
        <v>271</v>
      </c>
      <c r="C29" s="11" t="s">
        <v>272</v>
      </c>
      <c r="D29" s="11" t="s">
        <v>195</v>
      </c>
      <c r="E29" s="14" t="n">
        <v>20</v>
      </c>
      <c r="F29" s="14" t="n">
        <v>1</v>
      </c>
      <c r="G29" s="14" t="n">
        <v>1</v>
      </c>
      <c r="H29" s="14" t="n">
        <v>1</v>
      </c>
      <c r="I29" s="14" t="n">
        <v>1</v>
      </c>
      <c r="J29" s="14" t="n">
        <v>1</v>
      </c>
      <c r="K29" s="14" t="n">
        <v>2</v>
      </c>
      <c r="L29" s="22"/>
      <c r="M29" s="22"/>
      <c r="N29" s="22"/>
      <c r="O29" s="22"/>
      <c r="P29" s="22"/>
      <c r="Q29" s="22"/>
      <c r="R29" s="22"/>
      <c r="S29" s="22" t="s">
        <v>196</v>
      </c>
      <c r="T29" s="22"/>
    </row>
    <row r="30" customFormat="false" ht="15" hidden="false" customHeight="false" outlineLevel="0" collapsed="false">
      <c r="A30" s="11" t="s">
        <v>273</v>
      </c>
      <c r="B30" s="13" t="s">
        <v>274</v>
      </c>
      <c r="C30" s="11" t="s">
        <v>275</v>
      </c>
      <c r="D30" s="11" t="s">
        <v>195</v>
      </c>
      <c r="E30" s="14" t="n">
        <v>30</v>
      </c>
      <c r="F30" s="15" t="n">
        <v>0</v>
      </c>
      <c r="G30" s="15" t="n">
        <v>0</v>
      </c>
      <c r="H30" s="15" t="n">
        <v>0.01</v>
      </c>
      <c r="I30" s="15" t="n">
        <v>0.02</v>
      </c>
      <c r="J30" s="15" t="n">
        <v>0.02</v>
      </c>
      <c r="K30" s="15" t="n">
        <v>0.05</v>
      </c>
      <c r="L30" s="22"/>
      <c r="M30" s="22"/>
      <c r="N30" s="22"/>
      <c r="O30" s="22" t="s">
        <v>196</v>
      </c>
      <c r="P30" s="22"/>
      <c r="Q30" s="22"/>
      <c r="R30" s="22"/>
      <c r="S30" s="22"/>
      <c r="T3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120</v>
      </c>
      <c r="B1" s="16" t="s">
        <v>123</v>
      </c>
      <c r="C1" s="16" t="s">
        <v>276</v>
      </c>
      <c r="D1" s="16" t="s">
        <v>121</v>
      </c>
      <c r="E1" s="16" t="s">
        <v>277</v>
      </c>
      <c r="F1" s="16" t="s">
        <v>278</v>
      </c>
      <c r="G1" s="16" t="s">
        <v>279</v>
      </c>
      <c r="H1" s="16" t="s">
        <v>280</v>
      </c>
      <c r="I1" s="16" t="s">
        <v>135</v>
      </c>
    </row>
    <row r="2" customFormat="false" ht="15" hidden="false" customHeight="false" outlineLevel="0" collapsed="false">
      <c r="A2" s="11" t="s">
        <v>281</v>
      </c>
      <c r="B2" s="11" t="n">
        <v>1</v>
      </c>
      <c r="C2" s="11" t="n">
        <v>1</v>
      </c>
      <c r="D2" s="13" t="s">
        <v>282</v>
      </c>
      <c r="E2" s="11" t="s">
        <v>283</v>
      </c>
      <c r="F2" s="13" t="s">
        <v>284</v>
      </c>
      <c r="G2" s="14" t="n">
        <v>1</v>
      </c>
      <c r="H2" s="14" t="n">
        <v>6</v>
      </c>
      <c r="I2" s="13" t="s">
        <v>285</v>
      </c>
    </row>
    <row r="3" customFormat="false" ht="15" hidden="false" customHeight="false" outlineLevel="0" collapsed="false">
      <c r="A3" s="11" t="s">
        <v>286</v>
      </c>
      <c r="B3" s="11" t="n">
        <v>1</v>
      </c>
      <c r="C3" s="11" t="n">
        <v>2</v>
      </c>
      <c r="D3" s="13" t="s">
        <v>287</v>
      </c>
      <c r="E3" s="11" t="s">
        <v>288</v>
      </c>
      <c r="F3" s="13" t="s">
        <v>284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289</v>
      </c>
      <c r="B4" s="11" t="n">
        <v>1</v>
      </c>
      <c r="C4" s="11" t="n">
        <v>3</v>
      </c>
      <c r="D4" s="13" t="s">
        <v>290</v>
      </c>
      <c r="E4" s="11" t="s">
        <v>288</v>
      </c>
      <c r="F4" s="13" t="s">
        <v>291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292</v>
      </c>
      <c r="B5" s="11" t="n">
        <v>1</v>
      </c>
      <c r="C5" s="11" t="n">
        <v>4</v>
      </c>
      <c r="D5" s="13" t="s">
        <v>293</v>
      </c>
      <c r="E5" s="11" t="s">
        <v>283</v>
      </c>
      <c r="F5" s="11"/>
      <c r="G5" s="14" t="n">
        <v>4</v>
      </c>
      <c r="H5" s="14" t="n">
        <v>6</v>
      </c>
      <c r="I5" s="13" t="s">
        <v>294</v>
      </c>
    </row>
    <row r="6" customFormat="false" ht="15" hidden="false" customHeight="false" outlineLevel="0" collapsed="false">
      <c r="A6" s="11" t="s">
        <v>295</v>
      </c>
      <c r="B6" s="11" t="n">
        <v>1</v>
      </c>
      <c r="C6" s="11" t="n">
        <v>5</v>
      </c>
      <c r="D6" s="13" t="s">
        <v>296</v>
      </c>
      <c r="E6" s="11" t="s">
        <v>288</v>
      </c>
      <c r="F6" s="13" t="s">
        <v>291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297</v>
      </c>
      <c r="B7" s="11" t="n">
        <v>1</v>
      </c>
      <c r="C7" s="11" t="n">
        <v>6</v>
      </c>
      <c r="D7" s="13" t="s">
        <v>298</v>
      </c>
      <c r="E7" s="11" t="s">
        <v>288</v>
      </c>
      <c r="F7" s="13" t="s">
        <v>291</v>
      </c>
      <c r="G7" s="14" t="n">
        <v>6</v>
      </c>
      <c r="H7" s="14" t="n">
        <v>20</v>
      </c>
      <c r="I7" s="13" t="s">
        <v>299</v>
      </c>
    </row>
    <row r="8" customFormat="false" ht="15" hidden="false" customHeight="false" outlineLevel="0" collapsed="false">
      <c r="A8" s="11" t="s">
        <v>300</v>
      </c>
      <c r="B8" s="11" t="n">
        <v>1</v>
      </c>
      <c r="C8" s="11" t="n">
        <v>7</v>
      </c>
      <c r="D8" s="13" t="s">
        <v>301</v>
      </c>
      <c r="E8" s="11" t="s">
        <v>288</v>
      </c>
      <c r="F8" s="13" t="s">
        <v>291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302</v>
      </c>
      <c r="B9" s="11" t="n">
        <v>1</v>
      </c>
      <c r="C9" s="11" t="n">
        <v>8</v>
      </c>
      <c r="D9" s="13" t="s">
        <v>303</v>
      </c>
      <c r="E9" s="11" t="s">
        <v>288</v>
      </c>
      <c r="F9" s="13" t="s">
        <v>304</v>
      </c>
      <c r="G9" s="14" t="n">
        <v>8</v>
      </c>
      <c r="H9" s="14" t="n">
        <v>20</v>
      </c>
      <c r="I9" s="13" t="s">
        <v>305</v>
      </c>
    </row>
    <row r="10" customFormat="false" ht="15" hidden="false" customHeight="false" outlineLevel="0" collapsed="false">
      <c r="A10" s="11" t="s">
        <v>306</v>
      </c>
      <c r="B10" s="11" t="n">
        <v>1</v>
      </c>
      <c r="C10" s="11" t="n">
        <v>9</v>
      </c>
      <c r="D10" s="13" t="s">
        <v>307</v>
      </c>
      <c r="E10" s="11" t="s">
        <v>288</v>
      </c>
      <c r="F10" s="13" t="s">
        <v>304</v>
      </c>
      <c r="G10" s="14" t="n">
        <v>9</v>
      </c>
      <c r="H10" s="14" t="n">
        <v>20</v>
      </c>
      <c r="I10" s="13" t="s">
        <v>305</v>
      </c>
    </row>
    <row r="11" customFormat="false" ht="15" hidden="false" customHeight="false" outlineLevel="0" collapsed="false">
      <c r="A11" s="11" t="s">
        <v>308</v>
      </c>
      <c r="B11" s="11" t="n">
        <v>1</v>
      </c>
      <c r="C11" s="11" t="n">
        <v>10</v>
      </c>
      <c r="D11" s="13" t="s">
        <v>309</v>
      </c>
      <c r="E11" s="11" t="s">
        <v>288</v>
      </c>
      <c r="F11" s="13" t="s">
        <v>291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310</v>
      </c>
      <c r="B12" s="11" t="n">
        <v>1</v>
      </c>
      <c r="C12" s="11" t="n">
        <v>11</v>
      </c>
      <c r="D12" s="13" t="s">
        <v>311</v>
      </c>
      <c r="E12" s="11" t="s">
        <v>288</v>
      </c>
      <c r="F12" s="13" t="s">
        <v>312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313</v>
      </c>
      <c r="B13" s="11" t="n">
        <v>1</v>
      </c>
      <c r="C13" s="11" t="n">
        <v>12</v>
      </c>
      <c r="D13" s="13" t="s">
        <v>314</v>
      </c>
      <c r="E13" s="11" t="s">
        <v>288</v>
      </c>
      <c r="F13" s="13" t="s">
        <v>312</v>
      </c>
      <c r="G13" s="14" t="n">
        <v>11</v>
      </c>
      <c r="H13" s="14" t="n">
        <v>20</v>
      </c>
      <c r="I13" s="13" t="s">
        <v>305</v>
      </c>
    </row>
    <row r="14" customFormat="false" ht="15" hidden="false" customHeight="false" outlineLevel="0" collapsed="false">
      <c r="A14" s="11" t="s">
        <v>315</v>
      </c>
      <c r="B14" s="11" t="n">
        <v>1</v>
      </c>
      <c r="C14" s="11" t="n">
        <v>13</v>
      </c>
      <c r="D14" s="13" t="s">
        <v>316</v>
      </c>
      <c r="E14" s="11" t="s">
        <v>288</v>
      </c>
      <c r="F14" s="13" t="s">
        <v>312</v>
      </c>
      <c r="G14" s="14" t="n">
        <v>12</v>
      </c>
      <c r="H14" s="14" t="n">
        <v>20</v>
      </c>
      <c r="I14" s="13" t="s">
        <v>305</v>
      </c>
    </row>
    <row r="15" customFormat="false" ht="15" hidden="false" customHeight="false" outlineLevel="0" collapsed="false">
      <c r="A15" s="11" t="s">
        <v>317</v>
      </c>
      <c r="B15" s="11" t="n">
        <v>1</v>
      </c>
      <c r="C15" s="11" t="n">
        <v>14</v>
      </c>
      <c r="D15" s="13" t="s">
        <v>318</v>
      </c>
      <c r="E15" s="11" t="s">
        <v>288</v>
      </c>
      <c r="F15" s="13" t="s">
        <v>291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319</v>
      </c>
      <c r="B16" s="11" t="n">
        <v>1</v>
      </c>
      <c r="C16" s="11" t="n">
        <v>15</v>
      </c>
      <c r="D16" s="13" t="s">
        <v>320</v>
      </c>
      <c r="E16" s="11" t="s">
        <v>283</v>
      </c>
      <c r="F16" s="13" t="s">
        <v>304</v>
      </c>
      <c r="G16" s="14" t="n">
        <v>13</v>
      </c>
      <c r="H16" s="14" t="n">
        <v>6</v>
      </c>
      <c r="I16" s="13" t="s">
        <v>321</v>
      </c>
    </row>
    <row r="17" customFormat="false" ht="15" hidden="false" customHeight="false" outlineLevel="0" collapsed="false">
      <c r="A17" s="11" t="s">
        <v>322</v>
      </c>
      <c r="B17" s="11" t="n">
        <v>2</v>
      </c>
      <c r="C17" s="11" t="n">
        <v>1</v>
      </c>
      <c r="D17" s="13" t="s">
        <v>323</v>
      </c>
      <c r="E17" s="11" t="s">
        <v>288</v>
      </c>
      <c r="F17" s="13" t="s">
        <v>291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324</v>
      </c>
      <c r="B18" s="11" t="n">
        <v>2</v>
      </c>
      <c r="C18" s="11" t="n">
        <v>2</v>
      </c>
      <c r="D18" s="13" t="s">
        <v>325</v>
      </c>
      <c r="E18" s="11" t="s">
        <v>283</v>
      </c>
      <c r="F18" s="11"/>
      <c r="G18" s="14" t="n">
        <v>0</v>
      </c>
      <c r="H18" s="14" t="n">
        <v>0</v>
      </c>
      <c r="I18" s="13" t="s">
        <v>326</v>
      </c>
    </row>
    <row r="19" customFormat="false" ht="15" hidden="false" customHeight="false" outlineLevel="0" collapsed="false">
      <c r="A19" s="11" t="s">
        <v>327</v>
      </c>
      <c r="B19" s="11" t="n">
        <v>2</v>
      </c>
      <c r="C19" s="11" t="n">
        <v>3</v>
      </c>
      <c r="D19" s="13" t="s">
        <v>328</v>
      </c>
      <c r="E19" s="11" t="s">
        <v>288</v>
      </c>
      <c r="F19" s="13" t="s">
        <v>329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330</v>
      </c>
      <c r="B20" s="11" t="n">
        <v>2</v>
      </c>
      <c r="C20" s="11" t="n">
        <v>4</v>
      </c>
      <c r="D20" s="13" t="s">
        <v>331</v>
      </c>
      <c r="E20" s="11" t="s">
        <v>288</v>
      </c>
      <c r="F20" s="13" t="s">
        <v>332</v>
      </c>
      <c r="G20" s="14" t="n">
        <v>16</v>
      </c>
      <c r="H20" s="14" t="n">
        <v>20</v>
      </c>
      <c r="I20" s="13" t="s">
        <v>299</v>
      </c>
    </row>
    <row r="21" customFormat="false" ht="15" hidden="false" customHeight="false" outlineLevel="0" collapsed="false">
      <c r="A21" s="11" t="s">
        <v>333</v>
      </c>
      <c r="B21" s="11" t="n">
        <v>2</v>
      </c>
      <c r="C21" s="11" t="n">
        <v>5</v>
      </c>
      <c r="D21" s="13" t="s">
        <v>334</v>
      </c>
      <c r="E21" s="11" t="s">
        <v>288</v>
      </c>
      <c r="F21" s="13" t="s">
        <v>329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335</v>
      </c>
      <c r="B22" s="11" t="n">
        <v>2</v>
      </c>
      <c r="C22" s="11" t="n">
        <v>6</v>
      </c>
      <c r="D22" s="13" t="s">
        <v>336</v>
      </c>
      <c r="E22" s="11" t="s">
        <v>288</v>
      </c>
      <c r="F22" s="13" t="s">
        <v>329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337</v>
      </c>
      <c r="B23" s="11" t="n">
        <v>2</v>
      </c>
      <c r="C23" s="11" t="n">
        <v>7</v>
      </c>
      <c r="D23" s="13" t="s">
        <v>338</v>
      </c>
      <c r="E23" s="11" t="s">
        <v>288</v>
      </c>
      <c r="F23" s="13" t="s">
        <v>339</v>
      </c>
      <c r="G23" s="14" t="n">
        <v>19</v>
      </c>
      <c r="H23" s="14" t="n">
        <v>20</v>
      </c>
      <c r="I23" s="13" t="s">
        <v>305</v>
      </c>
    </row>
    <row r="24" customFormat="false" ht="15" hidden="false" customHeight="false" outlineLevel="0" collapsed="false">
      <c r="A24" s="11" t="s">
        <v>340</v>
      </c>
      <c r="B24" s="11" t="n">
        <v>2</v>
      </c>
      <c r="C24" s="11" t="n">
        <v>8</v>
      </c>
      <c r="D24" s="13" t="s">
        <v>341</v>
      </c>
      <c r="E24" s="11" t="s">
        <v>288</v>
      </c>
      <c r="F24" s="13" t="s">
        <v>339</v>
      </c>
      <c r="G24" s="14" t="n">
        <v>20</v>
      </c>
      <c r="H24" s="14" t="n">
        <v>20</v>
      </c>
      <c r="I24" s="13" t="s">
        <v>305</v>
      </c>
    </row>
    <row r="25" customFormat="false" ht="15" hidden="false" customHeight="false" outlineLevel="0" collapsed="false">
      <c r="A25" s="11" t="s">
        <v>342</v>
      </c>
      <c r="B25" s="11" t="n">
        <v>2</v>
      </c>
      <c r="C25" s="11" t="n">
        <v>9</v>
      </c>
      <c r="D25" s="13" t="s">
        <v>343</v>
      </c>
      <c r="E25" s="11" t="s">
        <v>288</v>
      </c>
      <c r="F25" s="13" t="s">
        <v>329</v>
      </c>
      <c r="G25" s="14" t="n">
        <v>19</v>
      </c>
      <c r="H25" s="14" t="n">
        <v>20</v>
      </c>
      <c r="I25" s="13" t="s">
        <v>299</v>
      </c>
    </row>
    <row r="26" customFormat="false" ht="15" hidden="false" customHeight="false" outlineLevel="0" collapsed="false">
      <c r="A26" s="11" t="s">
        <v>344</v>
      </c>
      <c r="B26" s="11" t="n">
        <v>2</v>
      </c>
      <c r="C26" s="11" t="n">
        <v>10</v>
      </c>
      <c r="D26" s="13" t="s">
        <v>345</v>
      </c>
      <c r="E26" s="11" t="s">
        <v>288</v>
      </c>
      <c r="F26" s="13" t="s">
        <v>332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346</v>
      </c>
      <c r="B27" s="11" t="n">
        <v>2</v>
      </c>
      <c r="C27" s="11" t="n">
        <v>11</v>
      </c>
      <c r="D27" s="13" t="s">
        <v>347</v>
      </c>
      <c r="E27" s="11" t="s">
        <v>288</v>
      </c>
      <c r="F27" s="13" t="s">
        <v>339</v>
      </c>
      <c r="G27" s="14" t="n">
        <v>21</v>
      </c>
      <c r="H27" s="14" t="n">
        <v>20</v>
      </c>
      <c r="I27" s="13" t="s">
        <v>305</v>
      </c>
    </row>
    <row r="28" customFormat="false" ht="15" hidden="false" customHeight="false" outlineLevel="0" collapsed="false">
      <c r="A28" s="11" t="s">
        <v>348</v>
      </c>
      <c r="B28" s="11" t="n">
        <v>2</v>
      </c>
      <c r="C28" s="11" t="n">
        <v>12</v>
      </c>
      <c r="D28" s="13" t="s">
        <v>349</v>
      </c>
      <c r="E28" s="11" t="s">
        <v>288</v>
      </c>
      <c r="F28" s="13" t="s">
        <v>339</v>
      </c>
      <c r="G28" s="14" t="n">
        <v>22</v>
      </c>
      <c r="H28" s="14" t="n">
        <v>20</v>
      </c>
      <c r="I28" s="13" t="s">
        <v>305</v>
      </c>
    </row>
    <row r="29" customFormat="false" ht="15" hidden="false" customHeight="false" outlineLevel="0" collapsed="false">
      <c r="A29" s="11" t="s">
        <v>350</v>
      </c>
      <c r="B29" s="11" t="n">
        <v>2</v>
      </c>
      <c r="C29" s="11" t="n">
        <v>13</v>
      </c>
      <c r="D29" s="13" t="s">
        <v>351</v>
      </c>
      <c r="E29" s="11" t="s">
        <v>288</v>
      </c>
      <c r="F29" s="13" t="s">
        <v>352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353</v>
      </c>
      <c r="B30" s="11" t="n">
        <v>2</v>
      </c>
      <c r="C30" s="11" t="n">
        <v>14</v>
      </c>
      <c r="D30" s="13" t="s">
        <v>354</v>
      </c>
      <c r="E30" s="11" t="s">
        <v>288</v>
      </c>
      <c r="F30" s="13" t="s">
        <v>352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355</v>
      </c>
      <c r="B31" s="11" t="n">
        <v>2</v>
      </c>
      <c r="C31" s="11" t="n">
        <v>15</v>
      </c>
      <c r="D31" s="13" t="s">
        <v>356</v>
      </c>
      <c r="E31" s="11" t="s">
        <v>288</v>
      </c>
      <c r="F31" s="13" t="s">
        <v>352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357</v>
      </c>
      <c r="B32" s="11" t="n">
        <v>2</v>
      </c>
      <c r="C32" s="11" t="n">
        <v>16</v>
      </c>
      <c r="D32" s="13" t="s">
        <v>358</v>
      </c>
      <c r="E32" s="11" t="s">
        <v>283</v>
      </c>
      <c r="F32" s="13" t="s">
        <v>352</v>
      </c>
      <c r="G32" s="14" t="n">
        <v>24</v>
      </c>
      <c r="H32" s="14" t="n">
        <v>6</v>
      </c>
      <c r="I32" s="13" t="s">
        <v>359</v>
      </c>
    </row>
    <row r="33" customFormat="false" ht="15" hidden="false" customHeight="false" outlineLevel="0" collapsed="false">
      <c r="A33" s="11" t="s">
        <v>360</v>
      </c>
      <c r="B33" s="11" t="n">
        <v>3</v>
      </c>
      <c r="C33" s="11" t="n">
        <v>1</v>
      </c>
      <c r="D33" s="13" t="s">
        <v>361</v>
      </c>
      <c r="E33" s="11" t="s">
        <v>288</v>
      </c>
      <c r="F33" s="13" t="s">
        <v>291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362</v>
      </c>
      <c r="B34" s="11" t="n">
        <v>3</v>
      </c>
      <c r="C34" s="11" t="n">
        <v>2</v>
      </c>
      <c r="D34" s="13" t="s">
        <v>363</v>
      </c>
      <c r="E34" s="11" t="s">
        <v>283</v>
      </c>
      <c r="F34" s="11"/>
      <c r="G34" s="14" t="n">
        <v>0</v>
      </c>
      <c r="H34" s="14" t="n">
        <v>0</v>
      </c>
      <c r="I34" s="13" t="s">
        <v>326</v>
      </c>
    </row>
    <row r="35" customFormat="false" ht="15" hidden="false" customHeight="false" outlineLevel="0" collapsed="false">
      <c r="A35" s="11" t="s">
        <v>364</v>
      </c>
      <c r="B35" s="11" t="n">
        <v>3</v>
      </c>
      <c r="C35" s="11" t="n">
        <v>3</v>
      </c>
      <c r="D35" s="13" t="s">
        <v>365</v>
      </c>
      <c r="E35" s="11" t="s">
        <v>288</v>
      </c>
      <c r="F35" s="13" t="s">
        <v>284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366</v>
      </c>
      <c r="B36" s="11" t="n">
        <v>3</v>
      </c>
      <c r="C36" s="11" t="n">
        <v>4</v>
      </c>
      <c r="D36" s="13" t="s">
        <v>367</v>
      </c>
      <c r="E36" s="11" t="s">
        <v>288</v>
      </c>
      <c r="F36" s="13" t="s">
        <v>368</v>
      </c>
      <c r="G36" s="14" t="n">
        <v>27</v>
      </c>
      <c r="H36" s="14" t="n">
        <v>20</v>
      </c>
      <c r="I36" s="13" t="s">
        <v>299</v>
      </c>
    </row>
    <row r="37" customFormat="false" ht="15" hidden="false" customHeight="false" outlineLevel="0" collapsed="false">
      <c r="A37" s="11" t="s">
        <v>369</v>
      </c>
      <c r="B37" s="11" t="n">
        <v>3</v>
      </c>
      <c r="C37" s="11" t="n">
        <v>5</v>
      </c>
      <c r="D37" s="13" t="s">
        <v>370</v>
      </c>
      <c r="E37" s="11" t="s">
        <v>288</v>
      </c>
      <c r="F37" s="13" t="s">
        <v>368</v>
      </c>
      <c r="G37" s="14" t="n">
        <v>28</v>
      </c>
      <c r="H37" s="14" t="n">
        <v>20</v>
      </c>
      <c r="I37" s="13" t="s">
        <v>305</v>
      </c>
    </row>
    <row r="38" customFormat="false" ht="15" hidden="false" customHeight="false" outlineLevel="0" collapsed="false">
      <c r="A38" s="11" t="s">
        <v>371</v>
      </c>
      <c r="B38" s="11" t="n">
        <v>3</v>
      </c>
      <c r="C38" s="11" t="n">
        <v>6</v>
      </c>
      <c r="D38" s="13" t="s">
        <v>372</v>
      </c>
      <c r="E38" s="11" t="s">
        <v>288</v>
      </c>
      <c r="F38" s="13" t="s">
        <v>368</v>
      </c>
      <c r="G38" s="14" t="n">
        <v>29</v>
      </c>
      <c r="H38" s="14" t="n">
        <v>20</v>
      </c>
      <c r="I38" s="13" t="s">
        <v>305</v>
      </c>
    </row>
    <row r="39" customFormat="false" ht="15" hidden="false" customHeight="false" outlineLevel="0" collapsed="false">
      <c r="A39" s="11" t="s">
        <v>373</v>
      </c>
      <c r="B39" s="11" t="n">
        <v>3</v>
      </c>
      <c r="C39" s="11" t="n">
        <v>7</v>
      </c>
      <c r="D39" s="13" t="s">
        <v>374</v>
      </c>
      <c r="E39" s="11" t="s">
        <v>288</v>
      </c>
      <c r="F39" s="13" t="s">
        <v>368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375</v>
      </c>
      <c r="B40" s="11" t="n">
        <v>3</v>
      </c>
      <c r="C40" s="11" t="n">
        <v>8</v>
      </c>
      <c r="D40" s="13" t="s">
        <v>376</v>
      </c>
      <c r="E40" s="11" t="s">
        <v>288</v>
      </c>
      <c r="F40" s="13" t="s">
        <v>368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377</v>
      </c>
      <c r="B41" s="11" t="n">
        <v>3</v>
      </c>
      <c r="C41" s="11" t="n">
        <v>9</v>
      </c>
      <c r="D41" s="13" t="s">
        <v>378</v>
      </c>
      <c r="E41" s="11" t="s">
        <v>288</v>
      </c>
      <c r="F41" s="13" t="s">
        <v>368</v>
      </c>
      <c r="G41" s="14" t="n">
        <v>30</v>
      </c>
      <c r="H41" s="14" t="n">
        <v>20</v>
      </c>
      <c r="I41" s="13" t="s">
        <v>379</v>
      </c>
    </row>
    <row r="42" customFormat="false" ht="15" hidden="false" customHeight="false" outlineLevel="0" collapsed="false">
      <c r="A42" s="11" t="s">
        <v>380</v>
      </c>
      <c r="B42" s="11" t="n">
        <v>3</v>
      </c>
      <c r="C42" s="11" t="n">
        <v>10</v>
      </c>
      <c r="D42" s="13" t="s">
        <v>381</v>
      </c>
      <c r="E42" s="11" t="s">
        <v>283</v>
      </c>
      <c r="F42" s="13" t="s">
        <v>368</v>
      </c>
      <c r="G42" s="14" t="n">
        <v>30</v>
      </c>
      <c r="H42" s="14" t="n">
        <v>6</v>
      </c>
      <c r="I42" s="13" t="s">
        <v>382</v>
      </c>
    </row>
    <row r="43" customFormat="false" ht="15" hidden="false" customHeight="false" outlineLevel="0" collapsed="false">
      <c r="A43" s="11" t="s">
        <v>383</v>
      </c>
      <c r="B43" s="11" t="n">
        <v>3</v>
      </c>
      <c r="C43" s="11" t="n">
        <v>11</v>
      </c>
      <c r="D43" s="13" t="s">
        <v>384</v>
      </c>
      <c r="E43" s="11" t="s">
        <v>288</v>
      </c>
      <c r="F43" s="13" t="s">
        <v>385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386</v>
      </c>
      <c r="B44" s="11" t="n">
        <v>3</v>
      </c>
      <c r="C44" s="11" t="n">
        <v>12</v>
      </c>
      <c r="D44" s="13" t="s">
        <v>387</v>
      </c>
      <c r="E44" s="11" t="s">
        <v>288</v>
      </c>
      <c r="F44" s="13" t="s">
        <v>388</v>
      </c>
      <c r="G44" s="14" t="n">
        <v>32</v>
      </c>
      <c r="H44" s="14" t="n">
        <v>20</v>
      </c>
      <c r="I44" s="13" t="s">
        <v>299</v>
      </c>
    </row>
    <row r="45" customFormat="false" ht="15" hidden="false" customHeight="false" outlineLevel="0" collapsed="false">
      <c r="A45" s="11" t="s">
        <v>389</v>
      </c>
      <c r="B45" s="11" t="n">
        <v>3</v>
      </c>
      <c r="C45" s="11" t="n">
        <v>13</v>
      </c>
      <c r="D45" s="13" t="s">
        <v>390</v>
      </c>
      <c r="E45" s="11" t="s">
        <v>288</v>
      </c>
      <c r="F45" s="13" t="s">
        <v>385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391</v>
      </c>
      <c r="B46" s="11" t="n">
        <v>3</v>
      </c>
      <c r="C46" s="11" t="n">
        <v>14</v>
      </c>
      <c r="D46" s="13" t="s">
        <v>392</v>
      </c>
      <c r="E46" s="11" t="s">
        <v>288</v>
      </c>
      <c r="F46" s="13" t="s">
        <v>385</v>
      </c>
      <c r="G46" s="14" t="n">
        <v>34</v>
      </c>
      <c r="H46" s="14" t="n">
        <v>20</v>
      </c>
      <c r="I46" s="13" t="s">
        <v>305</v>
      </c>
    </row>
    <row r="47" customFormat="false" ht="15" hidden="false" customHeight="false" outlineLevel="0" collapsed="false">
      <c r="A47" s="11" t="s">
        <v>393</v>
      </c>
      <c r="B47" s="11" t="n">
        <v>3</v>
      </c>
      <c r="C47" s="11" t="n">
        <v>15</v>
      </c>
      <c r="D47" s="13" t="s">
        <v>394</v>
      </c>
      <c r="E47" s="11" t="s">
        <v>288</v>
      </c>
      <c r="F47" s="13" t="s">
        <v>385</v>
      </c>
      <c r="G47" s="14" t="n">
        <v>35</v>
      </c>
      <c r="H47" s="14" t="n">
        <v>20</v>
      </c>
      <c r="I47" s="13" t="s">
        <v>305</v>
      </c>
    </row>
    <row r="48" customFormat="false" ht="15" hidden="false" customHeight="false" outlineLevel="0" collapsed="false">
      <c r="A48" s="11" t="s">
        <v>395</v>
      </c>
      <c r="B48" s="11" t="n">
        <v>3</v>
      </c>
      <c r="C48" s="11" t="n">
        <v>16</v>
      </c>
      <c r="D48" s="13" t="s">
        <v>396</v>
      </c>
      <c r="E48" s="11" t="s">
        <v>288</v>
      </c>
      <c r="F48" s="13" t="s">
        <v>385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397</v>
      </c>
      <c r="B49" s="11" t="n">
        <v>3</v>
      </c>
      <c r="C49" s="11" t="n">
        <v>17</v>
      </c>
      <c r="D49" s="13" t="s">
        <v>398</v>
      </c>
      <c r="E49" s="11" t="s">
        <v>283</v>
      </c>
      <c r="F49" s="13" t="s">
        <v>385</v>
      </c>
      <c r="G49" s="14" t="n">
        <v>36</v>
      </c>
      <c r="H49" s="14" t="n">
        <v>6</v>
      </c>
      <c r="I49" s="13" t="s">
        <v>399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400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401</v>
      </c>
      <c r="B52" s="24" t="s">
        <v>279</v>
      </c>
      <c r="C52" s="24" t="s">
        <v>402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상수!$B$35+상수!$B$36*A53</f>
        <v>14</v>
      </c>
      <c r="C53" s="18" t="n">
        <f aca="false">B53+상수!$B$28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상수!$B$35+상수!$B$36*A54</f>
        <v>16</v>
      </c>
      <c r="C54" s="18" t="n">
        <f aca="false">B54+상수!$B$28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상수!$B$35+상수!$B$36*A55</f>
        <v>18</v>
      </c>
      <c r="C55" s="18" t="n">
        <f aca="false">B55+상수!$B$28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상수!$B$35+상수!$B$36*A56</f>
        <v>20</v>
      </c>
      <c r="C56" s="18" t="n">
        <f aca="false">B56+상수!$B$28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상수!$B$35+상수!$B$36*A57</f>
        <v>22</v>
      </c>
      <c r="C57" s="18" t="n">
        <f aca="false">B57+상수!$B$28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상수!$B$35+상수!$B$36*A58</f>
        <v>24</v>
      </c>
      <c r="C58" s="18" t="n">
        <f aca="false">B58+상수!$B$28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상수!$B$35+상수!$B$36*A59</f>
        <v>26</v>
      </c>
      <c r="C59" s="18" t="n">
        <f aca="false">B59+상수!$B$28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상수!$B$35+상수!$B$36*A60</f>
        <v>28</v>
      </c>
      <c r="C60" s="18" t="n">
        <f aca="false">B60+상수!$B$28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상수!$B$35+상수!$B$36*A61</f>
        <v>30</v>
      </c>
      <c r="C61" s="18" t="n">
        <f aca="false">B61+상수!$B$28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상수!$B$35+상수!$B$36*A62</f>
        <v>32</v>
      </c>
      <c r="C62" s="18" t="n">
        <f aca="false">B62+상수!$B$28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상수!$B$35+상수!$B$36*A63</f>
        <v>34</v>
      </c>
      <c r="C63" s="18" t="n">
        <f aca="false">B63+상수!$B$28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상수!$B$35+상수!$B$36*A64</f>
        <v>36</v>
      </c>
      <c r="C64" s="18" t="n">
        <f aca="false">B64+상수!$B$28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상수!$B$35+상수!$B$36*A65</f>
        <v>38</v>
      </c>
      <c r="C65" s="18" t="n">
        <f aca="false">B65+상수!$B$28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상수!$B$35+상수!$B$36*A66</f>
        <v>40</v>
      </c>
      <c r="C66" s="18" t="n">
        <f aca="false">B66+상수!$B$28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상수!$B$35+상수!$B$36*A67</f>
        <v>42</v>
      </c>
      <c r="C67" s="18" t="n">
        <f aca="false">B67+상수!$B$28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상수!$B$35+상수!$B$36*A68</f>
        <v>44</v>
      </c>
      <c r="C68" s="18" t="n">
        <f aca="false">B68+상수!$B$28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상수!$B$35+상수!$B$36*A69</f>
        <v>46</v>
      </c>
      <c r="C69" s="18" t="n">
        <f aca="false">B69+상수!$B$28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상수!$B$35+상수!$B$36*A70</f>
        <v>48</v>
      </c>
      <c r="C70" s="18" t="n">
        <f aca="false">B70+상수!$B$28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상수!$B$35+상수!$B$36*A71</f>
        <v>50</v>
      </c>
      <c r="C71" s="18" t="n">
        <f aca="false">B71+상수!$B$28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상수!$B$35+상수!$B$36*A72</f>
        <v>52</v>
      </c>
      <c r="C72" s="18" t="n">
        <f aca="false">B72+상수!$B$28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403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404</v>
      </c>
      <c r="B3" s="20" t="s">
        <v>136</v>
      </c>
      <c r="C3" s="25" t="s">
        <v>405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406</v>
      </c>
      <c r="B4" s="21" t="n">
        <v>6</v>
      </c>
      <c r="C4" s="25" t="s">
        <v>407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408</v>
      </c>
      <c r="B5" s="26" t="n">
        <v>1.115</v>
      </c>
      <c r="C5" s="25" t="s">
        <v>409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410</v>
      </c>
      <c r="B6" s="15" t="n">
        <v>1.2</v>
      </c>
      <c r="C6" s="25" t="s">
        <v>411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412</v>
      </c>
      <c r="B7" s="21" t="n">
        <v>1</v>
      </c>
      <c r="C7" s="25" t="s">
        <v>413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414</v>
      </c>
      <c r="B8" s="27" t="n">
        <v>0.02</v>
      </c>
      <c r="C8" s="25" t="s">
        <v>415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416</v>
      </c>
      <c r="B9" s="27" t="n">
        <v>0.003</v>
      </c>
      <c r="C9" s="25" t="s">
        <v>417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418</v>
      </c>
      <c r="B10" s="14" t="n">
        <v>4</v>
      </c>
      <c r="C10" s="25" t="s">
        <v>419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420</v>
      </c>
      <c r="B11" s="14" t="n">
        <v>12</v>
      </c>
      <c r="C11" s="25" t="s">
        <v>421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422</v>
      </c>
      <c r="B12" s="14" t="n">
        <v>20</v>
      </c>
      <c r="C12" s="2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423</v>
      </c>
      <c r="B13" s="21" t="n">
        <v>2.5</v>
      </c>
      <c r="C13" s="25" t="s">
        <v>424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425</v>
      </c>
      <c r="B14" s="14" t="n">
        <v>15</v>
      </c>
      <c r="C14" s="25" t="s">
        <v>424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426</v>
      </c>
      <c r="B15" s="28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427</v>
      </c>
      <c r="B16" s="28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428</v>
      </c>
      <c r="B17" s="29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429</v>
      </c>
      <c r="B18" s="28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0" t="s">
        <v>113</v>
      </c>
      <c r="B20" s="30" t="s">
        <v>114</v>
      </c>
      <c r="C20" s="30" t="s">
        <v>430</v>
      </c>
      <c r="D20" s="30" t="s">
        <v>431</v>
      </c>
      <c r="E20" s="30" t="s">
        <v>218</v>
      </c>
      <c r="F20" s="30" t="s">
        <v>432</v>
      </c>
      <c r="G20" s="30" t="s">
        <v>433</v>
      </c>
      <c r="H20" s="30" t="s">
        <v>434</v>
      </c>
      <c r="I20" s="30" t="s">
        <v>435</v>
      </c>
      <c r="J20" s="30" t="s">
        <v>115</v>
      </c>
      <c r="K20" s="30" t="s">
        <v>128</v>
      </c>
      <c r="L20" s="30" t="s">
        <v>436</v>
      </c>
      <c r="M20" s="30" t="s">
        <v>437</v>
      </c>
      <c r="N20" s="30" t="s">
        <v>438</v>
      </c>
      <c r="O20" s="30" t="s">
        <v>439</v>
      </c>
      <c r="P20" s="30" t="s">
        <v>440</v>
      </c>
      <c r="Q20" s="31" t="s">
        <v>441</v>
      </c>
    </row>
    <row r="21" customFormat="false" ht="15" hidden="false" customHeight="false" outlineLevel="0" collapsed="false">
      <c r="A21" s="11" t="n">
        <v>1</v>
      </c>
      <c r="B21" s="32" t="n">
        <f aca="false">INDEX(레벨표!$B:$B,MATCH(A21,레벨표!$A:$A,0))</f>
        <v>1</v>
      </c>
      <c r="C21" s="33" t="n">
        <f aca="false">$B$4*$B$5^(A21-1)</f>
        <v>6</v>
      </c>
      <c r="D21" s="34" t="n">
        <f aca="false">$B$8*A21</f>
        <v>0.02</v>
      </c>
      <c r="E21" s="35" t="n">
        <f aca="false">MIN(상수!$B$9+$B$9*A21,상수!$B$11)</f>
        <v>0.053</v>
      </c>
      <c r="F21" s="17" t="n">
        <f aca="false">1+E21*상수!$B$10</f>
        <v>1.0265</v>
      </c>
      <c r="G21" s="33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INDEX(레벨표!$C:$C,MATCH(A21,레벨표!$A:$A,0))+$B$10*A21</f>
        <v>114</v>
      </c>
      <c r="K21" s="18" t="n">
        <f aca="false">$B$11*A21+$B$12</f>
        <v>32</v>
      </c>
      <c r="L21" s="34" t="n">
        <f aca="false">MIN(K21/(K21+상수!$B$3*A21+상수!$B$4),상수!$B$5)</f>
        <v>0.329896907216495</v>
      </c>
      <c r="M21" s="33" t="n">
        <f aca="false">$B$16*B21*(1-L21)</f>
        <v>3.35051546391753</v>
      </c>
      <c r="N21" s="33" t="n">
        <f aca="false">J21/M21</f>
        <v>34.0246153846154</v>
      </c>
      <c r="O21" s="33" t="n">
        <f aca="false">N21*$B$17</f>
        <v>51.0369230769231</v>
      </c>
      <c r="P21" s="33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2" t="n">
        <f aca="false">INDEX(레벨표!$B:$B,MATCH(A22,레벨표!$A:$A,0))</f>
        <v>1.12</v>
      </c>
      <c r="C22" s="33" t="n">
        <f aca="false">$B$4*$B$5^(A22-1)</f>
        <v>6.69</v>
      </c>
      <c r="D22" s="34" t="n">
        <f aca="false">$B$8*A22</f>
        <v>0.04</v>
      </c>
      <c r="E22" s="35" t="n">
        <f aca="false">MIN(상수!$B$9+$B$9*A22,상수!$B$11)</f>
        <v>0.056</v>
      </c>
      <c r="F22" s="17" t="n">
        <f aca="false">1+E22*상수!$B$10</f>
        <v>1.028</v>
      </c>
      <c r="G22" s="33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INDEX(레벨표!$C:$C,MATCH(A22,레벨표!$A:$A,0))+$B$10*A22</f>
        <v>128</v>
      </c>
      <c r="K22" s="18" t="n">
        <f aca="false">$B$11*A22+$B$12</f>
        <v>44</v>
      </c>
      <c r="L22" s="34" t="n">
        <f aca="false">MIN(K22/(K22+상수!$B$3*A22+상수!$B$4),상수!$B$5)</f>
        <v>0.354838709677419</v>
      </c>
      <c r="M22" s="33" t="n">
        <f aca="false">$B$16*B22*(1-L22)</f>
        <v>3.61290322580645</v>
      </c>
      <c r="N22" s="33" t="n">
        <f aca="false">J22/M22</f>
        <v>35.4285714285714</v>
      </c>
      <c r="O22" s="33" t="n">
        <f aca="false">N22*$B$17</f>
        <v>53.1428571428571</v>
      </c>
      <c r="P22" s="33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2" t="n">
        <f aca="false">INDEX(레벨표!$B:$B,MATCH(A23,레벨표!$A:$A,0))</f>
        <v>1.2544</v>
      </c>
      <c r="C23" s="33" t="n">
        <f aca="false">$B$4*$B$5^(A23-1)</f>
        <v>7.45935</v>
      </c>
      <c r="D23" s="34" t="n">
        <f aca="false">$B$8*A23</f>
        <v>0.06</v>
      </c>
      <c r="E23" s="35" t="n">
        <f aca="false">MIN(상수!$B$9+$B$9*A23,상수!$B$11)</f>
        <v>0.059</v>
      </c>
      <c r="F23" s="17" t="n">
        <f aca="false">1+E23*상수!$B$10</f>
        <v>1.0295</v>
      </c>
      <c r="G23" s="33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INDEX(레벨표!$C:$C,MATCH(A23,레벨표!$A:$A,0))+$B$10*A23</f>
        <v>142</v>
      </c>
      <c r="K23" s="18" t="n">
        <f aca="false">$B$11*A23+$B$12</f>
        <v>56</v>
      </c>
      <c r="L23" s="34" t="n">
        <f aca="false">MIN(K23/(K23+상수!$B$3*A23+상수!$B$4),상수!$B$5)</f>
        <v>0.370860927152318</v>
      </c>
      <c r="M23" s="33" t="n">
        <f aca="false">$B$16*B23*(1-L23)</f>
        <v>3.94596026490066</v>
      </c>
      <c r="N23" s="33" t="n">
        <f aca="false">J23/M23</f>
        <v>35.9861707841031</v>
      </c>
      <c r="O23" s="33" t="n">
        <f aca="false">N23*$B$17</f>
        <v>53.9792561761547</v>
      </c>
      <c r="P23" s="33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2" t="n">
        <f aca="false">INDEX(레벨표!$B:$B,MATCH(A24,레벨표!$A:$A,0))</f>
        <v>1.404928</v>
      </c>
      <c r="C24" s="33" t="n">
        <f aca="false">$B$4*$B$5^(A24-1)</f>
        <v>8.31717525</v>
      </c>
      <c r="D24" s="34" t="n">
        <f aca="false">$B$8*A24</f>
        <v>0.08</v>
      </c>
      <c r="E24" s="35" t="n">
        <f aca="false">MIN(상수!$B$9+$B$9*A24,상수!$B$11)</f>
        <v>0.062</v>
      </c>
      <c r="F24" s="17" t="n">
        <f aca="false">1+E24*상수!$B$10</f>
        <v>1.031</v>
      </c>
      <c r="G24" s="33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INDEX(레벨표!$C:$C,MATCH(A24,레벨표!$A:$A,0))+$B$10*A24</f>
        <v>156</v>
      </c>
      <c r="K24" s="18" t="n">
        <f aca="false">$B$11*A24+$B$12</f>
        <v>68</v>
      </c>
      <c r="L24" s="34" t="n">
        <f aca="false">MIN(K24/(K24+상수!$B$3*A24+상수!$B$4),상수!$B$5)</f>
        <v>0.382022471910112</v>
      </c>
      <c r="M24" s="33" t="n">
        <f aca="false">$B$16*B24*(1-L24)</f>
        <v>4.34106966292135</v>
      </c>
      <c r="N24" s="33" t="n">
        <f aca="false">J24/M24</f>
        <v>35.9358434932415</v>
      </c>
      <c r="O24" s="33" t="n">
        <f aca="false">N24*$B$17</f>
        <v>53.9037652398622</v>
      </c>
      <c r="P24" s="33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2" t="n">
        <f aca="false">INDEX(레벨표!$B:$B,MATCH(A25,레벨표!$A:$A,0))</f>
        <v>1.57351936</v>
      </c>
      <c r="C25" s="33" t="n">
        <f aca="false">$B$4*$B$5^(A25-1)</f>
        <v>9.27365040375</v>
      </c>
      <c r="D25" s="34" t="n">
        <f aca="false">$B$8*A25</f>
        <v>0.1</v>
      </c>
      <c r="E25" s="35" t="n">
        <f aca="false">MIN(상수!$B$9+$B$9*A25,상수!$B$11)</f>
        <v>0.065</v>
      </c>
      <c r="F25" s="17" t="n">
        <f aca="false">1+E25*상수!$B$10</f>
        <v>1.0325</v>
      </c>
      <c r="G25" s="33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INDEX(레벨표!$C:$C,MATCH(A25,레벨표!$A:$A,0))+$B$10*A25</f>
        <v>170</v>
      </c>
      <c r="K25" s="18" t="n">
        <f aca="false">$B$11*A25+$B$12</f>
        <v>80</v>
      </c>
      <c r="L25" s="34" t="n">
        <f aca="false">MIN(K25/(K25+상수!$B$3*A25+상수!$B$4),상수!$B$5)</f>
        <v>0.390243902439024</v>
      </c>
      <c r="M25" s="33" t="n">
        <f aca="false">$B$16*B25*(1-L25)</f>
        <v>4.79731512195122</v>
      </c>
      <c r="N25" s="33" t="n">
        <f aca="false">J25/M25</f>
        <v>35.4364880518534</v>
      </c>
      <c r="O25" s="33" t="n">
        <f aca="false">N25*$B$17</f>
        <v>53.1547320777801</v>
      </c>
      <c r="P25" s="33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2" t="n">
        <f aca="false">INDEX(레벨표!$B:$B,MATCH(A26,레벨표!$A:$A,0))</f>
        <v>1.7623416832</v>
      </c>
      <c r="C26" s="33" t="n">
        <f aca="false">$B$4*$B$5^(A26-1)</f>
        <v>10.3401202001813</v>
      </c>
      <c r="D26" s="34" t="n">
        <f aca="false">$B$8*A26</f>
        <v>0.12</v>
      </c>
      <c r="E26" s="35" t="n">
        <f aca="false">MIN(상수!$B$9+$B$9*A26,상수!$B$11)</f>
        <v>0.068</v>
      </c>
      <c r="F26" s="17" t="n">
        <f aca="false">1+E26*상수!$B$10</f>
        <v>1.034</v>
      </c>
      <c r="G26" s="33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INDEX(레벨표!$C:$C,MATCH(A26,레벨표!$A:$A,0))+$B$10*A26</f>
        <v>184</v>
      </c>
      <c r="K26" s="18" t="n">
        <f aca="false">$B$11*A26+$B$12</f>
        <v>92</v>
      </c>
      <c r="L26" s="34" t="n">
        <f aca="false">MIN(K26/(K26+상수!$B$3*A26+상수!$B$4),상수!$B$5)</f>
        <v>0.396551724137931</v>
      </c>
      <c r="M26" s="33" t="n">
        <f aca="false">$B$16*B26*(1-L26)</f>
        <v>5.31741025103448</v>
      </c>
      <c r="N26" s="33" t="n">
        <f aca="false">J26/M26</f>
        <v>34.603310881308</v>
      </c>
      <c r="O26" s="33" t="n">
        <f aca="false">N26*$B$17</f>
        <v>51.9049663219619</v>
      </c>
      <c r="P26" s="33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2" t="n">
        <f aca="false">INDEX(레벨표!$B:$B,MATCH(A27,레벨표!$A:$A,0))</f>
        <v>1.973822685184</v>
      </c>
      <c r="C27" s="33" t="n">
        <f aca="false">$B$4*$B$5^(A27-1)</f>
        <v>11.5292340232021</v>
      </c>
      <c r="D27" s="34" t="n">
        <f aca="false">$B$8*A27</f>
        <v>0.14</v>
      </c>
      <c r="E27" s="35" t="n">
        <f aca="false">MIN(상수!$B$9+$B$9*A27,상수!$B$11)</f>
        <v>0.071</v>
      </c>
      <c r="F27" s="17" t="n">
        <f aca="false">1+E27*상수!$B$10</f>
        <v>1.0355</v>
      </c>
      <c r="G27" s="33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INDEX(레벨표!$C:$C,MATCH(A27,레벨표!$A:$A,0))+$B$10*A27</f>
        <v>198</v>
      </c>
      <c r="K27" s="18" t="n">
        <f aca="false">$B$11*A27+$B$12</f>
        <v>104</v>
      </c>
      <c r="L27" s="34" t="n">
        <f aca="false">MIN(K27/(K27+상수!$B$3*A27+상수!$B$4),상수!$B$5)</f>
        <v>0.401544401544402</v>
      </c>
      <c r="M27" s="33" t="n">
        <f aca="false">$B$16*B27*(1-L27)</f>
        <v>5.90622618153514</v>
      </c>
      <c r="N27" s="33" t="n">
        <f aca="false">J27/M27</f>
        <v>33.5239447176972</v>
      </c>
      <c r="O27" s="33" t="n">
        <f aca="false">N27*$B$17</f>
        <v>50.2859170765458</v>
      </c>
      <c r="P27" s="33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2" t="n">
        <f aca="false">INDEX(레벨표!$B:$B,MATCH(A28,레벨표!$A:$A,0))</f>
        <v>2.21068140740608</v>
      </c>
      <c r="C28" s="33" t="n">
        <f aca="false">$B$4*$B$5^(A28-1)</f>
        <v>12.8550959358703</v>
      </c>
      <c r="D28" s="34" t="n">
        <f aca="false">$B$8*A28</f>
        <v>0.16</v>
      </c>
      <c r="E28" s="35" t="n">
        <f aca="false">MIN(상수!$B$9+$B$9*A28,상수!$B$11)</f>
        <v>0.074</v>
      </c>
      <c r="F28" s="17" t="n">
        <f aca="false">1+E28*상수!$B$10</f>
        <v>1.037</v>
      </c>
      <c r="G28" s="33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INDEX(레벨표!$C:$C,MATCH(A28,레벨표!$A:$A,0))+$B$10*A28</f>
        <v>212</v>
      </c>
      <c r="K28" s="18" t="n">
        <f aca="false">$B$11*A28+$B$12</f>
        <v>116</v>
      </c>
      <c r="L28" s="34" t="n">
        <f aca="false">MIN(K28/(K28+상수!$B$3*A28+상수!$B$4),상수!$B$5)</f>
        <v>0.405594405594406</v>
      </c>
      <c r="M28" s="33" t="n">
        <f aca="false">$B$16*B28*(1-L28)</f>
        <v>6.57020698005304</v>
      </c>
      <c r="N28" s="33" t="n">
        <f aca="false">J28/M28</f>
        <v>32.2668677933018</v>
      </c>
      <c r="O28" s="33" t="n">
        <f aca="false">N28*$B$17</f>
        <v>48.4003016899527</v>
      </c>
      <c r="P28" s="33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2" t="n">
        <f aca="false">INDEX(레벨표!$B:$B,MATCH(A29,레벨표!$A:$A,0))</f>
        <v>2.47596317629481</v>
      </c>
      <c r="C29" s="33" t="n">
        <f aca="false">$B$4*$B$5^(A29-1)</f>
        <v>14.3334319684954</v>
      </c>
      <c r="D29" s="34" t="n">
        <f aca="false">$B$8*A29</f>
        <v>0.18</v>
      </c>
      <c r="E29" s="35" t="n">
        <f aca="false">MIN(상수!$B$9+$B$9*A29,상수!$B$11)</f>
        <v>0.077</v>
      </c>
      <c r="F29" s="17" t="n">
        <f aca="false">1+E29*상수!$B$10</f>
        <v>1.0385</v>
      </c>
      <c r="G29" s="33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INDEX(레벨표!$C:$C,MATCH(A29,레벨표!$A:$A,0))+$B$10*A29</f>
        <v>226</v>
      </c>
      <c r="K29" s="18" t="n">
        <f aca="false">$B$11*A29+$B$12</f>
        <v>128</v>
      </c>
      <c r="L29" s="34" t="n">
        <f aca="false">MIN(K29/(K29+상수!$B$3*A29+상수!$B$4),상수!$B$5)</f>
        <v>0.408945686900958</v>
      </c>
      <c r="M29" s="33" t="n">
        <f aca="false">$B$16*B29*(1-L29)</f>
        <v>7.31714357211726</v>
      </c>
      <c r="N29" s="33" t="n">
        <f aca="false">J29/M29</f>
        <v>30.8863694927617</v>
      </c>
      <c r="O29" s="33" t="n">
        <f aca="false">N29*$B$17</f>
        <v>46.3295542391426</v>
      </c>
      <c r="P29" s="33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2" t="n">
        <f aca="false">INDEX(레벨표!$B:$B,MATCH(A30,레벨표!$A:$A,0))</f>
        <v>2.77307875745019</v>
      </c>
      <c r="C30" s="33" t="n">
        <f aca="false">$B$4*$B$5^(A30-1)</f>
        <v>15.9817766448724</v>
      </c>
      <c r="D30" s="34" t="n">
        <f aca="false">$B$8*A30</f>
        <v>0.2</v>
      </c>
      <c r="E30" s="35" t="n">
        <f aca="false">MIN(상수!$B$9+$B$9*A30,상수!$B$11)</f>
        <v>0.08</v>
      </c>
      <c r="F30" s="17" t="n">
        <f aca="false">1+E30*상수!$B$10</f>
        <v>1.04</v>
      </c>
      <c r="G30" s="33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INDEX(레벨표!$C:$C,MATCH(A30,레벨표!$A:$A,0))+$B$10*A30</f>
        <v>240</v>
      </c>
      <c r="K30" s="18" t="n">
        <f aca="false">$B$11*A30+$B$12</f>
        <v>140</v>
      </c>
      <c r="L30" s="34" t="n">
        <f aca="false">MIN(K30/(K30+상수!$B$3*A30+상수!$B$4),상수!$B$5)</f>
        <v>0.411764705882353</v>
      </c>
      <c r="M30" s="33" t="n">
        <f aca="false">$B$16*B30*(1-L30)</f>
        <v>8.15611399250056</v>
      </c>
      <c r="N30" s="33" t="n">
        <f aca="false">J30/M30</f>
        <v>29.4257780384969</v>
      </c>
      <c r="O30" s="33" t="n">
        <f aca="false">N30*$B$17</f>
        <v>44.1386670577453</v>
      </c>
      <c r="P30" s="33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2" t="n">
        <f aca="false">INDEX(레벨표!$B:$B,MATCH(A31,레벨표!$A:$A,0))</f>
        <v>3.10584820834421</v>
      </c>
      <c r="C31" s="33" t="n">
        <f aca="false">$B$4*$B$5^(A31-1)</f>
        <v>17.8196809590327</v>
      </c>
      <c r="D31" s="34" t="n">
        <f aca="false">$B$8*A31</f>
        <v>0.22</v>
      </c>
      <c r="E31" s="35" t="n">
        <f aca="false">MIN(상수!$B$9+$B$9*A31,상수!$B$11)</f>
        <v>0.083</v>
      </c>
      <c r="F31" s="17" t="n">
        <f aca="false">1+E31*상수!$B$10</f>
        <v>1.0415</v>
      </c>
      <c r="G31" s="33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INDEX(레벨표!$C:$C,MATCH(A31,레벨표!$A:$A,0))+$B$10*A31</f>
        <v>254</v>
      </c>
      <c r="K31" s="18" t="n">
        <f aca="false">$B$11*A31+$B$12</f>
        <v>152</v>
      </c>
      <c r="L31" s="34" t="n">
        <f aca="false">MIN(K31/(K31+상수!$B$3*A31+상수!$B$4),상수!$B$5)</f>
        <v>0.4141689373297</v>
      </c>
      <c r="M31" s="33" t="n">
        <f aca="false">$B$16*B31*(1-L31)</f>
        <v>9.09751178193468</v>
      </c>
      <c r="N31" s="33" t="n">
        <f aca="false">J31/M31</f>
        <v>27.91972201722</v>
      </c>
      <c r="O31" s="33" t="n">
        <f aca="false">N31*$B$17</f>
        <v>41.87958302583</v>
      </c>
      <c r="P31" s="33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2" t="n">
        <f aca="false">INDEX(레벨표!$B:$B,MATCH(A32,레벨표!$A:$A,0))</f>
        <v>3.47854999334552</v>
      </c>
      <c r="C32" s="33" t="n">
        <f aca="false">$B$4*$B$5^(A32-1)</f>
        <v>19.8689442693215</v>
      </c>
      <c r="D32" s="34" t="n">
        <f aca="false">$B$8*A32</f>
        <v>0.24</v>
      </c>
      <c r="E32" s="35" t="n">
        <f aca="false">MIN(상수!$B$9+$B$9*A32,상수!$B$11)</f>
        <v>0.086</v>
      </c>
      <c r="F32" s="17" t="n">
        <f aca="false">1+E32*상수!$B$10</f>
        <v>1.043</v>
      </c>
      <c r="G32" s="33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INDEX(레벨표!$C:$C,MATCH(A32,레벨표!$A:$A,0))+$B$10*A32</f>
        <v>268</v>
      </c>
      <c r="K32" s="18" t="n">
        <f aca="false">$B$11*A32+$B$12</f>
        <v>164</v>
      </c>
      <c r="L32" s="34" t="n">
        <f aca="false">MIN(K32/(K32+상수!$B$3*A32+상수!$B$4),상수!$B$5)</f>
        <v>0.416243654822335</v>
      </c>
      <c r="M32" s="33" t="n">
        <f aca="false">$B$16*B32*(1-L32)</f>
        <v>10.1531281531659</v>
      </c>
      <c r="N32" s="33" t="n">
        <f aca="false">J32/M32</f>
        <v>26.3958058991341</v>
      </c>
      <c r="O32" s="33" t="n">
        <f aca="false">N32*$B$17</f>
        <v>39.5937088487012</v>
      </c>
      <c r="P32" s="33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2" t="n">
        <f aca="false">INDEX(레벨표!$B:$B,MATCH(A33,레벨표!$A:$A,0))</f>
        <v>3.89597599254698</v>
      </c>
      <c r="C33" s="33" t="n">
        <f aca="false">$B$4*$B$5^(A33-1)</f>
        <v>22.1538728602935</v>
      </c>
      <c r="D33" s="34" t="n">
        <f aca="false">$B$8*A33</f>
        <v>0.26</v>
      </c>
      <c r="E33" s="35" t="n">
        <f aca="false">MIN(상수!$B$9+$B$9*A33,상수!$B$11)</f>
        <v>0.089</v>
      </c>
      <c r="F33" s="17" t="n">
        <f aca="false">1+E33*상수!$B$10</f>
        <v>1.0445</v>
      </c>
      <c r="G33" s="33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INDEX(레벨표!$C:$C,MATCH(A33,레벨표!$A:$A,0))+$B$10*A33</f>
        <v>282</v>
      </c>
      <c r="K33" s="18" t="n">
        <f aca="false">$B$11*A33+$B$12</f>
        <v>176</v>
      </c>
      <c r="L33" s="34" t="n">
        <f aca="false">MIN(K33/(K33+상수!$B$3*A33+상수!$B$4),상수!$B$5)</f>
        <v>0.418052256532067</v>
      </c>
      <c r="M33" s="33" t="n">
        <f aca="false">$B$16*B33*(1-L33)</f>
        <v>11.3362721873398</v>
      </c>
      <c r="N33" s="33" t="n">
        <f aca="false">J33/M33</f>
        <v>24.8759023548265</v>
      </c>
      <c r="O33" s="33" t="n">
        <f aca="false">N33*$B$17</f>
        <v>37.3138535322398</v>
      </c>
      <c r="P33" s="33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2" t="n">
        <f aca="false">INDEX(레벨표!$B:$B,MATCH(A34,레벨표!$A:$A,0))</f>
        <v>4.36349311165262</v>
      </c>
      <c r="C34" s="33" t="n">
        <f aca="false">$B$4*$B$5^(A34-1)</f>
        <v>24.7015682392272</v>
      </c>
      <c r="D34" s="34" t="n">
        <f aca="false">$B$8*A34</f>
        <v>0.28</v>
      </c>
      <c r="E34" s="35" t="n">
        <f aca="false">MIN(상수!$B$9+$B$9*A34,상수!$B$11)</f>
        <v>0.092</v>
      </c>
      <c r="F34" s="17" t="n">
        <f aca="false">1+E34*상수!$B$10</f>
        <v>1.046</v>
      </c>
      <c r="G34" s="33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INDEX(레벨표!$C:$C,MATCH(A34,레벨표!$A:$A,0))+$B$10*A34</f>
        <v>296</v>
      </c>
      <c r="K34" s="18" t="n">
        <f aca="false">$B$11*A34+$B$12</f>
        <v>188</v>
      </c>
      <c r="L34" s="34" t="n">
        <f aca="false">MIN(K34/(K34+상수!$B$3*A34+상수!$B$4),상수!$B$5)</f>
        <v>0.419642857142857</v>
      </c>
      <c r="M34" s="33" t="n">
        <f aca="false">$B$16*B34*(1-L34)</f>
        <v>12.6619219757777</v>
      </c>
      <c r="N34" s="33" t="n">
        <f aca="false">J34/M34</f>
        <v>23.3771776959493</v>
      </c>
      <c r="O34" s="33" t="n">
        <f aca="false">N34*$B$17</f>
        <v>35.0657665439239</v>
      </c>
      <c r="P34" s="33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2" t="n">
        <f aca="false">INDEX(레벨표!$B:$B,MATCH(A35,레벨표!$A:$A,0))</f>
        <v>4.88711228505093</v>
      </c>
      <c r="C35" s="33" t="n">
        <f aca="false">$B$4*$B$5^(A35-1)</f>
        <v>27.5422485867383</v>
      </c>
      <c r="D35" s="34" t="n">
        <f aca="false">$B$8*A35</f>
        <v>0.3</v>
      </c>
      <c r="E35" s="35" t="n">
        <f aca="false">MIN(상수!$B$9+$B$9*A35,상수!$B$11)</f>
        <v>0.095</v>
      </c>
      <c r="F35" s="17" t="n">
        <f aca="false">1+E35*상수!$B$10</f>
        <v>1.0475</v>
      </c>
      <c r="G35" s="33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INDEX(레벨표!$C:$C,MATCH(A35,레벨표!$A:$A,0))+$B$10*A35</f>
        <v>310</v>
      </c>
      <c r="K35" s="18" t="n">
        <f aca="false">$B$11*A35+$B$12</f>
        <v>200</v>
      </c>
      <c r="L35" s="34" t="n">
        <f aca="false">MIN(K35/(K35+상수!$B$3*A35+상수!$B$4),상수!$B$5)</f>
        <v>0.421052631578947</v>
      </c>
      <c r="M35" s="33" t="n">
        <f aca="false">$B$16*B35*(1-L35)</f>
        <v>14.1469039830422</v>
      </c>
      <c r="N35" s="33" t="n">
        <f aca="false">J35/M35</f>
        <v>21.9129217510485</v>
      </c>
      <c r="O35" s="33" t="n">
        <f aca="false">N35*$B$17</f>
        <v>32.8693826265728</v>
      </c>
      <c r="P35" s="33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2" t="n">
        <f aca="false">INDEX(레벨표!$B:$B,MATCH(A36,레벨표!$A:$A,0))</f>
        <v>5.47356575925705</v>
      </c>
      <c r="C36" s="33" t="n">
        <f aca="false">$B$4*$B$5^(A36-1)</f>
        <v>30.7096071742132</v>
      </c>
      <c r="D36" s="34" t="n">
        <f aca="false">$B$8*A36</f>
        <v>0.32</v>
      </c>
      <c r="E36" s="35" t="n">
        <f aca="false">MIN(상수!$B$9+$B$9*A36,상수!$B$11)</f>
        <v>0.098</v>
      </c>
      <c r="F36" s="17" t="n">
        <f aca="false">1+E36*상수!$B$10</f>
        <v>1.049</v>
      </c>
      <c r="G36" s="33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INDEX(레벨표!$C:$C,MATCH(A36,레벨표!$A:$A,0))+$B$10*A36</f>
        <v>324</v>
      </c>
      <c r="K36" s="18" t="n">
        <f aca="false">$B$11*A36+$B$12</f>
        <v>212</v>
      </c>
      <c r="L36" s="34" t="n">
        <f aca="false">MIN(K36/(K36+상수!$B$3*A36+상수!$B$4),상수!$B$5)</f>
        <v>0.422310756972112</v>
      </c>
      <c r="M36" s="33" t="n">
        <f aca="false">$B$16*B36*(1-L36)</f>
        <v>15.8101003006429</v>
      </c>
      <c r="N36" s="33" t="n">
        <f aca="false">J36/M36</f>
        <v>20.4932286221376</v>
      </c>
      <c r="O36" s="33" t="n">
        <f aca="false">N36*$B$17</f>
        <v>30.7398429332064</v>
      </c>
      <c r="P36" s="33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2" t="n">
        <f aca="false">INDEX(레벨표!$B:$B,MATCH(A37,레벨표!$A:$A,0))</f>
        <v>6.13039365036789</v>
      </c>
      <c r="C37" s="33" t="n">
        <f aca="false">$B$4*$B$5^(A37-1)</f>
        <v>34.2412119992478</v>
      </c>
      <c r="D37" s="34" t="n">
        <f aca="false">$B$8*A37</f>
        <v>0.34</v>
      </c>
      <c r="E37" s="35" t="n">
        <f aca="false">MIN(상수!$B$9+$B$9*A37,상수!$B$11)</f>
        <v>0.101</v>
      </c>
      <c r="F37" s="17" t="n">
        <f aca="false">1+E37*상수!$B$10</f>
        <v>1.0505</v>
      </c>
      <c r="G37" s="33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INDEX(레벨표!$C:$C,MATCH(A37,레벨표!$A:$A,0))+$B$10*A37</f>
        <v>338</v>
      </c>
      <c r="K37" s="18" t="n">
        <f aca="false">$B$11*A37+$B$12</f>
        <v>224</v>
      </c>
      <c r="L37" s="34" t="n">
        <f aca="false">MIN(K37/(K37+상수!$B$3*A37+상수!$B$4),상수!$B$5)</f>
        <v>0.4234404536862</v>
      </c>
      <c r="M37" s="33" t="n">
        <f aca="false">$B$16*B37*(1-L37)</f>
        <v>17.6726849089056</v>
      </c>
      <c r="N37" s="33" t="n">
        <f aca="false">J37/M37</f>
        <v>19.1255602497432</v>
      </c>
      <c r="O37" s="33" t="n">
        <f aca="false">N37*$B$17</f>
        <v>28.6883403746148</v>
      </c>
      <c r="P37" s="33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2" t="n">
        <f aca="false">INDEX(레벨표!$B:$B,MATCH(A38,레벨표!$A:$A,0))</f>
        <v>6.86604088841204</v>
      </c>
      <c r="C38" s="33" t="n">
        <f aca="false">$B$4*$B$5^(A38-1)</f>
        <v>38.1789513791613</v>
      </c>
      <c r="D38" s="34" t="n">
        <f aca="false">$B$8*A38</f>
        <v>0.36</v>
      </c>
      <c r="E38" s="35" t="n">
        <f aca="false">MIN(상수!$B$9+$B$9*A38,상수!$B$11)</f>
        <v>0.104</v>
      </c>
      <c r="F38" s="17" t="n">
        <f aca="false">1+E38*상수!$B$10</f>
        <v>1.052</v>
      </c>
      <c r="G38" s="33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INDEX(레벨표!$C:$C,MATCH(A38,레벨표!$A:$A,0))+$B$10*A38</f>
        <v>352</v>
      </c>
      <c r="K38" s="18" t="n">
        <f aca="false">$B$11*A38+$B$12</f>
        <v>236</v>
      </c>
      <c r="L38" s="34" t="n">
        <f aca="false">MIN(K38/(K38+상수!$B$3*A38+상수!$B$4),상수!$B$5)</f>
        <v>0.424460431654676</v>
      </c>
      <c r="M38" s="33" t="n">
        <f aca="false">$B$16*B38*(1-L38)</f>
        <v>19.75839104579</v>
      </c>
      <c r="N38" s="33" t="n">
        <f aca="false">J38/M38</f>
        <v>17.8152157827143</v>
      </c>
      <c r="O38" s="33" t="n">
        <f aca="false">N38*$B$17</f>
        <v>26.7228236740715</v>
      </c>
      <c r="P38" s="33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2" t="n">
        <f aca="false">INDEX(레벨표!$B:$B,MATCH(A39,레벨표!$A:$A,0))</f>
        <v>7.68996579502149</v>
      </c>
      <c r="C39" s="33" t="n">
        <f aca="false">$B$4*$B$5^(A39-1)</f>
        <v>42.5695307877648</v>
      </c>
      <c r="D39" s="34" t="n">
        <f aca="false">$B$8*A39</f>
        <v>0.38</v>
      </c>
      <c r="E39" s="35" t="n">
        <f aca="false">MIN(상수!$B$9+$B$9*A39,상수!$B$11)</f>
        <v>0.107</v>
      </c>
      <c r="F39" s="17" t="n">
        <f aca="false">1+E39*상수!$B$10</f>
        <v>1.0535</v>
      </c>
      <c r="G39" s="33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INDEX(레벨표!$C:$C,MATCH(A39,레벨표!$A:$A,0))+$B$10*A39</f>
        <v>366</v>
      </c>
      <c r="K39" s="18" t="n">
        <f aca="false">$B$11*A39+$B$12</f>
        <v>248</v>
      </c>
      <c r="L39" s="34" t="n">
        <f aca="false">MIN(K39/(K39+상수!$B$3*A39+상수!$B$4),상수!$B$5)</f>
        <v>0.425385934819897</v>
      </c>
      <c r="M39" s="33" t="n">
        <f aca="false">$B$16*B39*(1-L39)</f>
        <v>22.0938125328662</v>
      </c>
      <c r="N39" s="33" t="n">
        <f aca="false">J39/M39</f>
        <v>16.565723976138</v>
      </c>
      <c r="O39" s="33" t="n">
        <f aca="false">N39*$B$17</f>
        <v>24.848585964207</v>
      </c>
      <c r="P39" s="33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2" t="n">
        <f aca="false">INDEX(레벨표!$B:$B,MATCH(A40,레벨표!$A:$A,0))</f>
        <v>8.61276169042406</v>
      </c>
      <c r="C40" s="33" t="n">
        <f aca="false">$B$4*$B$5^(A40-1)</f>
        <v>47.4650268283577</v>
      </c>
      <c r="D40" s="34" t="n">
        <f aca="false">$B$8*A40</f>
        <v>0.4</v>
      </c>
      <c r="E40" s="35" t="n">
        <f aca="false">MIN(상수!$B$9+$B$9*A40,상수!$B$11)</f>
        <v>0.11</v>
      </c>
      <c r="F40" s="17" t="n">
        <f aca="false">1+E40*상수!$B$10</f>
        <v>1.055</v>
      </c>
      <c r="G40" s="33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INDEX(레벨표!$C:$C,MATCH(A40,레벨표!$A:$A,0))+$B$10*A40</f>
        <v>380</v>
      </c>
      <c r="K40" s="18" t="n">
        <f aca="false">$B$11*A40+$B$12</f>
        <v>260</v>
      </c>
      <c r="L40" s="34" t="n">
        <f aca="false">MIN(K40/(K40+상수!$B$3*A40+상수!$B$4),상수!$B$5)</f>
        <v>0.426229508196721</v>
      </c>
      <c r="M40" s="33" t="n">
        <f aca="false">$B$16*B40*(1-L40)</f>
        <v>24.7087425544953</v>
      </c>
      <c r="N40" s="33" t="n">
        <f aca="false">J40/M40</f>
        <v>15.3791719332503</v>
      </c>
      <c r="O40" s="33" t="n">
        <f aca="false">N40*$B$17</f>
        <v>23.0687578998754</v>
      </c>
      <c r="P40" s="33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2" t="n">
        <f aca="false">INDEX(레벨표!$B:$B,MATCH(A41,레벨표!$A:$A,0))</f>
        <v>9.64629309327495</v>
      </c>
      <c r="C41" s="33" t="n">
        <f aca="false">$B$4*$B$5^(A41-1)</f>
        <v>52.9235049136189</v>
      </c>
      <c r="D41" s="34" t="n">
        <f aca="false">$B$8*A41</f>
        <v>0.42</v>
      </c>
      <c r="E41" s="35" t="n">
        <f aca="false">MIN(상수!$B$9+$B$9*A41,상수!$B$11)</f>
        <v>0.113</v>
      </c>
      <c r="F41" s="17" t="n">
        <f aca="false">1+E41*상수!$B$10</f>
        <v>1.0565</v>
      </c>
      <c r="G41" s="33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INDEX(레벨표!$C:$C,MATCH(A41,레벨표!$A:$A,0))+$B$10*A41</f>
        <v>394</v>
      </c>
      <c r="K41" s="18" t="n">
        <f aca="false">$B$11*A41+$B$12</f>
        <v>272</v>
      </c>
      <c r="L41" s="34" t="n">
        <f aca="false">MIN(K41/(K41+상수!$B$3*A41+상수!$B$4),상수!$B$5)</f>
        <v>0.427001569858713</v>
      </c>
      <c r="M41" s="33" t="n">
        <f aca="false">$B$16*B41*(1-L41)</f>
        <v>27.6365539956464</v>
      </c>
      <c r="N41" s="33" t="n">
        <f aca="false">J41/M41</f>
        <v>14.2564807487238</v>
      </c>
      <c r="O41" s="33" t="n">
        <f aca="false">N41*$B$17</f>
        <v>21.3847211230857</v>
      </c>
      <c r="P41" s="33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2" t="n">
        <f aca="false">INDEX(레벨표!$B:$B,MATCH(A42,레벨표!$A:$A,0))</f>
        <v>10.8038482644679</v>
      </c>
      <c r="C42" s="33" t="n">
        <f aca="false">$B$4*$B$5^(A42-1)</f>
        <v>59.0097079786851</v>
      </c>
      <c r="D42" s="34" t="n">
        <f aca="false">$B$8*A42</f>
        <v>0.44</v>
      </c>
      <c r="E42" s="35" t="n">
        <f aca="false">MIN(상수!$B$9+$B$9*A42,상수!$B$11)</f>
        <v>0.116</v>
      </c>
      <c r="F42" s="17" t="n">
        <f aca="false">1+E42*상수!$B$10</f>
        <v>1.058</v>
      </c>
      <c r="G42" s="33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INDEX(레벨표!$C:$C,MATCH(A42,레벨표!$A:$A,0))+$B$10*A42</f>
        <v>408</v>
      </c>
      <c r="K42" s="18" t="n">
        <f aca="false">$B$11*A42+$B$12</f>
        <v>284</v>
      </c>
      <c r="L42" s="34" t="n">
        <f aca="false">MIN(K42/(K42+상수!$B$3*A42+상수!$B$4),상수!$B$5)</f>
        <v>0.427710843373494</v>
      </c>
      <c r="M42" s="33" t="n">
        <f aca="false">$B$16*B42*(1-L42)</f>
        <v>30.9146260579655</v>
      </c>
      <c r="N42" s="33" t="n">
        <f aca="false">J42/M42</f>
        <v>13.1976365890693</v>
      </c>
      <c r="O42" s="33" t="n">
        <f aca="false">N42*$B$17</f>
        <v>19.7964548836039</v>
      </c>
      <c r="P42" s="33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2" t="n">
        <f aca="false">INDEX(레벨표!$B:$B,MATCH(A43,레벨표!$A:$A,0))</f>
        <v>12.1003100562041</v>
      </c>
      <c r="C43" s="33" t="n">
        <f aca="false">$B$4*$B$5^(A43-1)</f>
        <v>65.7958243962338</v>
      </c>
      <c r="D43" s="34" t="n">
        <f aca="false">$B$8*A43</f>
        <v>0.46</v>
      </c>
      <c r="E43" s="35" t="n">
        <f aca="false">MIN(상수!$B$9+$B$9*A43,상수!$B$11)</f>
        <v>0.119</v>
      </c>
      <c r="F43" s="17" t="n">
        <f aca="false">1+E43*상수!$B$10</f>
        <v>1.0595</v>
      </c>
      <c r="G43" s="33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INDEX(레벨표!$C:$C,MATCH(A43,레벨표!$A:$A,0))+$B$10*A43</f>
        <v>422</v>
      </c>
      <c r="K43" s="18" t="n">
        <f aca="false">$B$11*A43+$B$12</f>
        <v>296</v>
      </c>
      <c r="L43" s="34" t="n">
        <f aca="false">MIN(K43/(K43+상수!$B$3*A43+상수!$B$4),상수!$B$5)</f>
        <v>0.428364688856729</v>
      </c>
      <c r="M43" s="33" t="n">
        <f aca="false">$B$16*B43*(1-L43)</f>
        <v>34.5848225195414</v>
      </c>
      <c r="N43" s="33" t="n">
        <f aca="false">J43/M43</f>
        <v>12.201884215585</v>
      </c>
      <c r="O43" s="33" t="n">
        <f aca="false">N43*$B$17</f>
        <v>18.3028263233775</v>
      </c>
      <c r="P43" s="33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2" t="n">
        <f aca="false">INDEX(레벨표!$B:$B,MATCH(A44,레벨표!$A:$A,0))</f>
        <v>13.5523472629486</v>
      </c>
      <c r="C44" s="33" t="n">
        <f aca="false">$B$4*$B$5^(A44-1)</f>
        <v>73.3623442018007</v>
      </c>
      <c r="D44" s="34" t="n">
        <f aca="false">$B$8*A44</f>
        <v>0.48</v>
      </c>
      <c r="E44" s="35" t="n">
        <f aca="false">MIN(상수!$B$9+$B$9*A44,상수!$B$11)</f>
        <v>0.122</v>
      </c>
      <c r="F44" s="17" t="n">
        <f aca="false">1+E44*상수!$B$10</f>
        <v>1.061</v>
      </c>
      <c r="G44" s="33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INDEX(레벨표!$C:$C,MATCH(A44,레벨표!$A:$A,0))+$B$10*A44</f>
        <v>436</v>
      </c>
      <c r="K44" s="18" t="n">
        <f aca="false">$B$11*A44+$B$12</f>
        <v>308</v>
      </c>
      <c r="L44" s="34" t="n">
        <f aca="false">MIN(K44/(K44+상수!$B$3*A44+상수!$B$4),상수!$B$5)</f>
        <v>0.428969359331476</v>
      </c>
      <c r="M44" s="33" t="n">
        <f aca="false">$B$16*B44*(1-L44)</f>
        <v>38.6940277006193</v>
      </c>
      <c r="N44" s="33" t="n">
        <f aca="false">J44/M44</f>
        <v>11.2678887649895</v>
      </c>
      <c r="O44" s="33" t="n">
        <f aca="false">N44*$B$17</f>
        <v>16.9018331474842</v>
      </c>
      <c r="P44" s="33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2" t="n">
        <f aca="false">INDEX(레벨표!$B:$B,MATCH(A45,레벨표!$A:$A,0))</f>
        <v>15.1786289345024</v>
      </c>
      <c r="C45" s="33" t="n">
        <f aca="false">$B$4*$B$5^(A45-1)</f>
        <v>81.7990137850078</v>
      </c>
      <c r="D45" s="34" t="n">
        <f aca="false">$B$8*A45</f>
        <v>0.5</v>
      </c>
      <c r="E45" s="35" t="n">
        <f aca="false">MIN(상수!$B$9+$B$9*A45,상수!$B$11)</f>
        <v>0.125</v>
      </c>
      <c r="F45" s="17" t="n">
        <f aca="false">1+E45*상수!$B$10</f>
        <v>1.0625</v>
      </c>
      <c r="G45" s="33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INDEX(레벨표!$C:$C,MATCH(A45,레벨표!$A:$A,0))+$B$10*A45</f>
        <v>450</v>
      </c>
      <c r="K45" s="18" t="n">
        <f aca="false">$B$11*A45+$B$12</f>
        <v>320</v>
      </c>
      <c r="L45" s="34" t="n">
        <f aca="false">MIN(K45/(K45+상수!$B$3*A45+상수!$B$4),상수!$B$5)</f>
        <v>0.429530201342282</v>
      </c>
      <c r="M45" s="33" t="n">
        <f aca="false">$B$16*B45*(1-L45)</f>
        <v>43.2947469608291</v>
      </c>
      <c r="N45" s="33" t="n">
        <f aca="false">J45/M45</f>
        <v>10.393870656113</v>
      </c>
      <c r="O45" s="33" t="n">
        <f aca="false">N45*$B$17</f>
        <v>15.5908059841695</v>
      </c>
      <c r="P45" s="33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2" t="n">
        <f aca="false">INDEX(레벨표!$B:$B,MATCH(A46,레벨표!$A:$A,0))</f>
        <v>17.0000644066427</v>
      </c>
      <c r="C46" s="33" t="n">
        <f aca="false">$B$4*$B$5^(A46-1)</f>
        <v>91.2059003702837</v>
      </c>
      <c r="D46" s="34" t="n">
        <f aca="false">$B$8*A46</f>
        <v>0.52</v>
      </c>
      <c r="E46" s="35" t="n">
        <f aca="false">MIN(상수!$B$9+$B$9*A46,상수!$B$11)</f>
        <v>0.128</v>
      </c>
      <c r="F46" s="17" t="n">
        <f aca="false">1+E46*상수!$B$10</f>
        <v>1.064</v>
      </c>
      <c r="G46" s="33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INDEX(레벨표!$C:$C,MATCH(A46,레벨표!$A:$A,0))+$B$10*A46</f>
        <v>464</v>
      </c>
      <c r="K46" s="18" t="n">
        <f aca="false">$B$11*A46+$B$12</f>
        <v>332</v>
      </c>
      <c r="L46" s="34" t="n">
        <f aca="false">MIN(K46/(K46+상수!$B$3*A46+상수!$B$4),상수!$B$5)</f>
        <v>0.430051813471503</v>
      </c>
      <c r="M46" s="33" t="n">
        <f aca="false">$B$16*B46*(1-L46)</f>
        <v>48.4457793971684</v>
      </c>
      <c r="N46" s="33" t="n">
        <f aca="false">J46/M46</f>
        <v>9.57771772430439</v>
      </c>
      <c r="O46" s="33" t="n">
        <f aca="false">N46*$B$17</f>
        <v>14.3665765864566</v>
      </c>
      <c r="P46" s="33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2" t="n">
        <f aca="false">INDEX(레벨표!$B:$B,MATCH(A47,레벨표!$A:$A,0))</f>
        <v>19.0400721354399</v>
      </c>
      <c r="C47" s="33" t="n">
        <f aca="false">$B$4*$B$5^(A47-1)</f>
        <v>101.694578912866</v>
      </c>
      <c r="D47" s="34" t="n">
        <f aca="false">$B$8*A47</f>
        <v>0.54</v>
      </c>
      <c r="E47" s="35" t="n">
        <f aca="false">MIN(상수!$B$9+$B$9*A47,상수!$B$11)</f>
        <v>0.131</v>
      </c>
      <c r="F47" s="17" t="n">
        <f aca="false">1+E47*상수!$B$10</f>
        <v>1.0655</v>
      </c>
      <c r="G47" s="33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INDEX(레벨표!$C:$C,MATCH(A47,레벨표!$A:$A,0))+$B$10*A47</f>
        <v>478</v>
      </c>
      <c r="K47" s="18" t="n">
        <f aca="false">$B$11*A47+$B$12</f>
        <v>344</v>
      </c>
      <c r="L47" s="34" t="n">
        <f aca="false">MIN(K47/(K47+상수!$B$3*A47+상수!$B$4),상수!$B$5)</f>
        <v>0.430538172715895</v>
      </c>
      <c r="M47" s="33" t="n">
        <f aca="false">$B$16*B47*(1-L47)</f>
        <v>54.2129713493438</v>
      </c>
      <c r="N47" s="33" t="n">
        <f aca="false">J47/M47</f>
        <v>8.81707805535706</v>
      </c>
      <c r="O47" s="33" t="n">
        <f aca="false">N47*$B$17</f>
        <v>13.2256170830356</v>
      </c>
      <c r="P47" s="33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2" t="n">
        <f aca="false">INDEX(레벨표!$B:$B,MATCH(A48,레벨표!$A:$A,0))</f>
        <v>21.3248807916926</v>
      </c>
      <c r="C48" s="33" t="n">
        <f aca="false">$B$4*$B$5^(A48-1)</f>
        <v>113.389455487846</v>
      </c>
      <c r="D48" s="34" t="n">
        <f aca="false">$B$8*A48</f>
        <v>0.56</v>
      </c>
      <c r="E48" s="35" t="n">
        <f aca="false">MIN(상수!$B$9+$B$9*A48,상수!$B$11)</f>
        <v>0.134</v>
      </c>
      <c r="F48" s="17" t="n">
        <f aca="false">1+E48*상수!$B$10</f>
        <v>1.067</v>
      </c>
      <c r="G48" s="33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INDEX(레벨표!$C:$C,MATCH(A48,레벨표!$A:$A,0))+$B$10*A48</f>
        <v>492</v>
      </c>
      <c r="K48" s="18" t="n">
        <f aca="false">$B$11*A48+$B$12</f>
        <v>356</v>
      </c>
      <c r="L48" s="34" t="n">
        <f aca="false">MIN(K48/(K48+상수!$B$3*A48+상수!$B$4),상수!$B$5)</f>
        <v>0.430992736077482</v>
      </c>
      <c r="M48" s="33" t="n">
        <f aca="false">$B$16*B48*(1-L48)</f>
        <v>60.6700603637744</v>
      </c>
      <c r="N48" s="33" t="n">
        <f aca="false">J48/M48</f>
        <v>8.10943646750958</v>
      </c>
      <c r="O48" s="33" t="n">
        <f aca="false">N48*$B$17</f>
        <v>12.1641547012644</v>
      </c>
      <c r="P48" s="33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2" t="n">
        <f aca="false">INDEX(레벨표!$B:$B,MATCH(A49,레벨표!$A:$A,0))</f>
        <v>23.8838664866958</v>
      </c>
      <c r="C49" s="33" t="n">
        <f aca="false">$B$4*$B$5^(A49-1)</f>
        <v>126.429242868948</v>
      </c>
      <c r="D49" s="34" t="n">
        <f aca="false">$B$8*A49</f>
        <v>0.58</v>
      </c>
      <c r="E49" s="35" t="n">
        <f aca="false">MIN(상수!$B$9+$B$9*A49,상수!$B$11)</f>
        <v>0.137</v>
      </c>
      <c r="F49" s="17" t="n">
        <f aca="false">1+E49*상수!$B$10</f>
        <v>1.0685</v>
      </c>
      <c r="G49" s="33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INDEX(레벨표!$C:$C,MATCH(A49,레벨표!$A:$A,0))+$B$10*A49</f>
        <v>506</v>
      </c>
      <c r="K49" s="18" t="n">
        <f aca="false">$B$11*A49+$B$12</f>
        <v>368</v>
      </c>
      <c r="L49" s="34" t="n">
        <f aca="false">MIN(K49/(K49+상수!$B$3*A49+상수!$B$4),상수!$B$5)</f>
        <v>0.431418522860492</v>
      </c>
      <c r="M49" s="33" t="n">
        <f aca="false">$B$16*B49*(1-L49)</f>
        <v>67.8996204340413</v>
      </c>
      <c r="N49" s="33" t="n">
        <f aca="false">J49/M49</f>
        <v>7.45217715158711</v>
      </c>
      <c r="O49" s="33" t="n">
        <f aca="false">N49*$B$17</f>
        <v>11.1782657273807</v>
      </c>
      <c r="P49" s="33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2" t="n">
        <f aca="false">INDEX(레벨표!$B:$B,MATCH(A50,레벨표!$A:$A,0))</f>
        <v>26.7499304650992</v>
      </c>
      <c r="C50" s="33" t="n">
        <f aca="false">$B$4*$B$5^(A50-1)</f>
        <v>140.968605798877</v>
      </c>
      <c r="D50" s="34" t="n">
        <f aca="false">$B$8*A50</f>
        <v>0.6</v>
      </c>
      <c r="E50" s="35" t="n">
        <f aca="false">MIN(상수!$B$9+$B$9*A50,상수!$B$11)</f>
        <v>0.14</v>
      </c>
      <c r="F50" s="17" t="n">
        <f aca="false">1+E50*상수!$B$10</f>
        <v>1.07</v>
      </c>
      <c r="G50" s="33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INDEX(레벨표!$C:$C,MATCH(A50,레벨표!$A:$A,0))+$B$10*A50</f>
        <v>520</v>
      </c>
      <c r="K50" s="18" t="n">
        <f aca="false">$B$11*A50+$B$12</f>
        <v>380</v>
      </c>
      <c r="L50" s="34" t="n">
        <f aca="false">MIN(K50/(K50+상수!$B$3*A50+상수!$B$4),상수!$B$5)</f>
        <v>0.431818181818182</v>
      </c>
      <c r="M50" s="33" t="n">
        <f aca="false">$B$16*B50*(1-L50)</f>
        <v>75.9941206394865</v>
      </c>
      <c r="N50" s="33" t="n">
        <f aca="false">J50/M50</f>
        <v>6.84263460941751</v>
      </c>
      <c r="O50" s="33" t="n">
        <f aca="false">N50*$B$17</f>
        <v>10.2639519141263</v>
      </c>
      <c r="P50" s="33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2" t="n">
        <f aca="false">INDEX(레벨표!$B:$B,MATCH(A51,레벨표!$A:$A,0))</f>
        <v>29.9599221209112</v>
      </c>
      <c r="C51" s="33" t="n">
        <f aca="false">$B$4*$B$5^(A51-1)</f>
        <v>157.179995465748</v>
      </c>
      <c r="D51" s="34" t="n">
        <f aca="false">$B$8*A51</f>
        <v>0.62</v>
      </c>
      <c r="E51" s="35" t="n">
        <f aca="false">MIN(상수!$B$9+$B$9*A51,상수!$B$11)</f>
        <v>0.143</v>
      </c>
      <c r="F51" s="17" t="n">
        <f aca="false">1+E51*상수!$B$10</f>
        <v>1.0715</v>
      </c>
      <c r="G51" s="33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INDEX(레벨표!$C:$C,MATCH(A51,레벨표!$A:$A,0))+$B$10*A51</f>
        <v>534</v>
      </c>
      <c r="K51" s="18" t="n">
        <f aca="false">$B$11*A51+$B$12</f>
        <v>392</v>
      </c>
      <c r="L51" s="34" t="n">
        <f aca="false">MIN(K51/(K51+상수!$B$3*A51+상수!$B$4),상수!$B$5)</f>
        <v>0.432194046306505</v>
      </c>
      <c r="M51" s="33" t="n">
        <f aca="false">$B$16*B51*(1-L51)</f>
        <v>85.057110762234</v>
      </c>
      <c r="N51" s="33" t="n">
        <f aca="false">J51/M51</f>
        <v>6.27813471695185</v>
      </c>
      <c r="O51" s="33" t="n">
        <f aca="false">N51*$B$17</f>
        <v>9.41720207542777</v>
      </c>
      <c r="P51" s="33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2" t="n">
        <f aca="false">INDEX(레벨표!$B:$B,MATCH(A52,레벨표!$A:$A,0))</f>
        <v>33.5551127754205</v>
      </c>
      <c r="C52" s="33" t="n">
        <f aca="false">$B$4*$B$5^(A52-1)</f>
        <v>175.255694944309</v>
      </c>
      <c r="D52" s="34" t="n">
        <f aca="false">$B$8*A52</f>
        <v>0.64</v>
      </c>
      <c r="E52" s="35" t="n">
        <f aca="false">MIN(상수!$B$9+$B$9*A52,상수!$B$11)</f>
        <v>0.146</v>
      </c>
      <c r="F52" s="17" t="n">
        <f aca="false">1+E52*상수!$B$10</f>
        <v>1.073</v>
      </c>
      <c r="G52" s="33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INDEX(레벨표!$C:$C,MATCH(A52,레벨표!$A:$A,0))+$B$10*A52</f>
        <v>548</v>
      </c>
      <c r="K52" s="18" t="n">
        <f aca="false">$B$11*A52+$B$12</f>
        <v>404</v>
      </c>
      <c r="L52" s="34" t="n">
        <f aca="false">MIN(K52/(K52+상수!$B$3*A52+상수!$B$4),상수!$B$5)</f>
        <v>0.43254817987152</v>
      </c>
      <c r="M52" s="33" t="n">
        <f aca="false">$B$16*B52*(1-L52)</f>
        <v>95.2045490951438</v>
      </c>
      <c r="N52" s="33" t="n">
        <f aca="false">J52/M52</f>
        <v>5.7560274714641</v>
      </c>
      <c r="O52" s="33" t="n">
        <f aca="false">N52*$B$17</f>
        <v>8.63404120719614</v>
      </c>
      <c r="P52" s="33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2" t="n">
        <f aca="false">INDEX(레벨표!$B:$B,MATCH(A53,레벨표!$A:$A,0))</f>
        <v>37.581726308471</v>
      </c>
      <c r="C53" s="33" t="n">
        <f aca="false">$B$4*$B$5^(A53-1)</f>
        <v>195.410099862905</v>
      </c>
      <c r="D53" s="34" t="n">
        <f aca="false">$B$8*A53</f>
        <v>0.66</v>
      </c>
      <c r="E53" s="35" t="n">
        <f aca="false">MIN(상수!$B$9+$B$9*A53,상수!$B$11)</f>
        <v>0.149</v>
      </c>
      <c r="F53" s="17" t="n">
        <f aca="false">1+E53*상수!$B$10</f>
        <v>1.0745</v>
      </c>
      <c r="G53" s="33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INDEX(레벨표!$C:$C,MATCH(A53,레벨표!$A:$A,0))+$B$10*A53</f>
        <v>562</v>
      </c>
      <c r="K53" s="18" t="n">
        <f aca="false">$B$11*A53+$B$12</f>
        <v>416</v>
      </c>
      <c r="L53" s="34" t="n">
        <f aca="false">MIN(K53/(K53+상수!$B$3*A53+상수!$B$4),상수!$B$5)</f>
        <v>0.432882414151925</v>
      </c>
      <c r="M53" s="33" t="n">
        <f aca="false">$B$16*B53*(1-L53)</f>
        <v>106.566289480316</v>
      </c>
      <c r="N53" s="33" t="n">
        <f aca="false">J53/M53</f>
        <v>5.27371275419897</v>
      </c>
      <c r="O53" s="33" t="n">
        <f aca="false">N53*$B$17</f>
        <v>7.91056913129845</v>
      </c>
      <c r="P53" s="33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2" t="n">
        <f aca="false">INDEX(레벨표!$B:$B,MATCH(A54,레벨표!$A:$A,0))</f>
        <v>42.0915334654875</v>
      </c>
      <c r="C54" s="33" t="n">
        <f aca="false">$B$4*$B$5^(A54-1)</f>
        <v>217.882261347139</v>
      </c>
      <c r="D54" s="34" t="n">
        <f aca="false">$B$8*A54</f>
        <v>0.68</v>
      </c>
      <c r="E54" s="35" t="n">
        <f aca="false">MIN(상수!$B$9+$B$9*A54,상수!$B$11)</f>
        <v>0.152</v>
      </c>
      <c r="F54" s="17" t="n">
        <f aca="false">1+E54*상수!$B$10</f>
        <v>1.076</v>
      </c>
      <c r="G54" s="33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INDEX(레벨표!$C:$C,MATCH(A54,레벨표!$A:$A,0))+$B$10*A54</f>
        <v>576</v>
      </c>
      <c r="K54" s="18" t="n">
        <f aca="false">$B$11*A54+$B$12</f>
        <v>428</v>
      </c>
      <c r="L54" s="34" t="n">
        <f aca="false">MIN(K54/(K54+상수!$B$3*A54+상수!$B$4),상수!$B$5)</f>
        <v>0.433198380566802</v>
      </c>
      <c r="M54" s="33" t="n">
        <f aca="false">$B$16*B54*(1-L54)</f>
        <v>119.287746663325</v>
      </c>
      <c r="N54" s="33" t="n">
        <f aca="false">J54/M54</f>
        <v>4.82866024475833</v>
      </c>
      <c r="O54" s="33" t="n">
        <f aca="false">N54*$B$17</f>
        <v>7.2429903671375</v>
      </c>
      <c r="P54" s="33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2" t="n">
        <f aca="false">INDEX(레벨표!$B:$B,MATCH(A55,레벨표!$A:$A,0))</f>
        <v>47.142517481346</v>
      </c>
      <c r="C55" s="33" t="n">
        <f aca="false">$B$4*$B$5^(A55-1)</f>
        <v>242.93872140206</v>
      </c>
      <c r="D55" s="34" t="n">
        <f aca="false">$B$8*A55</f>
        <v>0.7</v>
      </c>
      <c r="E55" s="35" t="n">
        <f aca="false">MIN(상수!$B$9+$B$9*A55,상수!$B$11)</f>
        <v>0.155</v>
      </c>
      <c r="F55" s="17" t="n">
        <f aca="false">1+E55*상수!$B$10</f>
        <v>1.0775</v>
      </c>
      <c r="G55" s="33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INDEX(레벨표!$C:$C,MATCH(A55,레벨표!$A:$A,0))+$B$10*A55</f>
        <v>590</v>
      </c>
      <c r="K55" s="18" t="n">
        <f aca="false">$B$11*A55+$B$12</f>
        <v>440</v>
      </c>
      <c r="L55" s="34" t="n">
        <f aca="false">MIN(K55/(K55+상수!$B$3*A55+상수!$B$4),상수!$B$5)</f>
        <v>0.433497536945813</v>
      </c>
      <c r="M55" s="33" t="n">
        <f aca="false">$B$16*B55*(1-L55)</f>
        <v>133.531761338788</v>
      </c>
      <c r="N55" s="33" t="n">
        <f aca="false">J55/M55</f>
        <v>4.41842445635905</v>
      </c>
      <c r="O55" s="33" t="n">
        <f aca="false">N55*$B$17</f>
        <v>6.62763668453857</v>
      </c>
      <c r="P55" s="33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2" t="n">
        <f aca="false">INDEX(레벨표!$B:$B,MATCH(A56,레벨표!$A:$A,0))</f>
        <v>52.7996195791075</v>
      </c>
      <c r="C56" s="33" t="n">
        <f aca="false">$B$4*$B$5^(A56-1)</f>
        <v>270.876674363297</v>
      </c>
      <c r="D56" s="34" t="n">
        <f aca="false">$B$8*A56</f>
        <v>0.72</v>
      </c>
      <c r="E56" s="35" t="n">
        <f aca="false">MIN(상수!$B$9+$B$9*A56,상수!$B$11)</f>
        <v>0.158</v>
      </c>
      <c r="F56" s="17" t="n">
        <f aca="false">1+E56*상수!$B$10</f>
        <v>1.079</v>
      </c>
      <c r="G56" s="33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INDEX(레벨표!$C:$C,MATCH(A56,레벨표!$A:$A,0))+$B$10*A56</f>
        <v>604</v>
      </c>
      <c r="K56" s="18" t="n">
        <f aca="false">$B$11*A56+$B$12</f>
        <v>452</v>
      </c>
      <c r="L56" s="34" t="n">
        <f aca="false">MIN(K56/(K56+상수!$B$3*A56+상수!$B$4),상수!$B$5)</f>
        <v>0.433781190019194</v>
      </c>
      <c r="M56" s="33" t="n">
        <f aca="false">$B$16*B56*(1-L56)</f>
        <v>149.480688827608</v>
      </c>
      <c r="N56" s="33" t="n">
        <f aca="false">J56/M56</f>
        <v>4.04065571772002</v>
      </c>
      <c r="O56" s="33" t="n">
        <f aca="false">N56*$B$17</f>
        <v>6.06098357658003</v>
      </c>
      <c r="P56" s="33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2" t="n">
        <f aca="false">INDEX(레벨표!$B:$B,MATCH(A57,레벨표!$A:$A,0))</f>
        <v>59.1355739286004</v>
      </c>
      <c r="C57" s="33" t="n">
        <f aca="false">$B$4*$B$5^(A57-1)</f>
        <v>302.027491915076</v>
      </c>
      <c r="D57" s="34" t="n">
        <f aca="false">$B$8*A57</f>
        <v>0.74</v>
      </c>
      <c r="E57" s="35" t="n">
        <f aca="false">MIN(상수!$B$9+$B$9*A57,상수!$B$11)</f>
        <v>0.161</v>
      </c>
      <c r="F57" s="17" t="n">
        <f aca="false">1+E57*상수!$B$10</f>
        <v>1.0805</v>
      </c>
      <c r="G57" s="33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INDEX(레벨표!$C:$C,MATCH(A57,레벨표!$A:$A,0))+$B$10*A57</f>
        <v>618</v>
      </c>
      <c r="K57" s="18" t="n">
        <f aca="false">$B$11*A57+$B$12</f>
        <v>464</v>
      </c>
      <c r="L57" s="34" t="n">
        <f aca="false">MIN(K57/(K57+상수!$B$3*A57+상수!$B$4),상수!$B$5)</f>
        <v>0.434050514499532</v>
      </c>
      <c r="M57" s="33" t="n">
        <f aca="false">$B$16*B57*(1-L57)</f>
        <v>167.338738198331</v>
      </c>
      <c r="N57" s="33" t="n">
        <f aca="false">J57/M57</f>
        <v>3.69310780428821</v>
      </c>
      <c r="O57" s="33" t="n">
        <f aca="false">N57*$B$17</f>
        <v>5.53966170643232</v>
      </c>
      <c r="P57" s="33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2" t="n">
        <f aca="false">INDEX(레벨표!$B:$B,MATCH(A58,레벨표!$A:$A,0))</f>
        <v>66.2318428000325</v>
      </c>
      <c r="C58" s="33" t="n">
        <f aca="false">$B$4*$B$5^(A58-1)</f>
        <v>336.76065348531</v>
      </c>
      <c r="D58" s="34" t="n">
        <f aca="false">$B$8*A58</f>
        <v>0.76</v>
      </c>
      <c r="E58" s="35" t="n">
        <f aca="false">MIN(상수!$B$9+$B$9*A58,상수!$B$11)</f>
        <v>0.164</v>
      </c>
      <c r="F58" s="17" t="n">
        <f aca="false">1+E58*상수!$B$10</f>
        <v>1.082</v>
      </c>
      <c r="G58" s="33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INDEX(레벨표!$C:$C,MATCH(A58,레벨표!$A:$A,0))+$B$10*A58</f>
        <v>632</v>
      </c>
      <c r="K58" s="18" t="n">
        <f aca="false">$B$11*A58+$B$12</f>
        <v>476</v>
      </c>
      <c r="L58" s="34" t="n">
        <f aca="false">MIN(K58/(K58+상수!$B$3*A58+상수!$B$4),상수!$B$5)</f>
        <v>0.434306569343066</v>
      </c>
      <c r="M58" s="33" t="n">
        <f aca="false">$B$16*B58*(1-L58)</f>
        <v>187.334591861406</v>
      </c>
      <c r="N58" s="33" t="n">
        <f aca="false">J58/M58</f>
        <v>3.37364281588511</v>
      </c>
      <c r="O58" s="33" t="n">
        <f aca="false">N58*$B$17</f>
        <v>5.06046422382766</v>
      </c>
      <c r="P58" s="33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2" t="n">
        <f aca="false">INDEX(레벨표!$B:$B,MATCH(A59,레벨표!$A:$A,0))</f>
        <v>74.1796639360364</v>
      </c>
      <c r="C59" s="33" t="n">
        <f aca="false">$B$4*$B$5^(A59-1)</f>
        <v>375.48812863612</v>
      </c>
      <c r="D59" s="34" t="n">
        <f aca="false">$B$8*A59</f>
        <v>0.78</v>
      </c>
      <c r="E59" s="35" t="n">
        <f aca="false">MIN(상수!$B$9+$B$9*A59,상수!$B$11)</f>
        <v>0.167</v>
      </c>
      <c r="F59" s="17" t="n">
        <f aca="false">1+E59*상수!$B$10</f>
        <v>1.0835</v>
      </c>
      <c r="G59" s="33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INDEX(레벨표!$C:$C,MATCH(A59,레벨표!$A:$A,0))+$B$10*A59</f>
        <v>646</v>
      </c>
      <c r="K59" s="18" t="n">
        <f aca="false">$B$11*A59+$B$12</f>
        <v>488</v>
      </c>
      <c r="L59" s="34" t="n">
        <f aca="false">MIN(K59/(K59+상수!$B$3*A59+상수!$B$4),상수!$B$5)</f>
        <v>0.434550311665183</v>
      </c>
      <c r="M59" s="33" t="n">
        <f aca="false">$B$16*B59*(1-L59)</f>
        <v>209.724339267066</v>
      </c>
      <c r="N59" s="33" t="n">
        <f aca="false">J59/M59</f>
        <v>3.08023380718522</v>
      </c>
      <c r="O59" s="33" t="n">
        <f aca="false">N59*$B$17</f>
        <v>4.62035071077783</v>
      </c>
      <c r="P59" s="33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2" t="n">
        <f aca="false">INDEX(레벨표!$B:$B,MATCH(A60,레벨표!$A:$A,0))</f>
        <v>83.0812236083607</v>
      </c>
      <c r="C60" s="33" t="n">
        <f aca="false">$B$4*$B$5^(A60-1)</f>
        <v>418.669263429274</v>
      </c>
      <c r="D60" s="34" t="n">
        <f aca="false">$B$8*A60</f>
        <v>0.8</v>
      </c>
      <c r="E60" s="35" t="n">
        <f aca="false">MIN(상수!$B$9+$B$9*A60,상수!$B$11)</f>
        <v>0.17</v>
      </c>
      <c r="F60" s="17" t="n">
        <f aca="false">1+E60*상수!$B$10</f>
        <v>1.085</v>
      </c>
      <c r="G60" s="33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INDEX(레벨표!$C:$C,MATCH(A60,레벨표!$A:$A,0))+$B$10*A60</f>
        <v>660</v>
      </c>
      <c r="K60" s="18" t="n">
        <f aca="false">$B$11*A60+$B$12</f>
        <v>500</v>
      </c>
      <c r="L60" s="34" t="n">
        <f aca="false">MIN(K60/(K60+상수!$B$3*A60+상수!$B$4),상수!$B$5)</f>
        <v>0.434782608695652</v>
      </c>
      <c r="M60" s="33" t="n">
        <f aca="false">$B$16*B60*(1-L60)</f>
        <v>234.794762371454</v>
      </c>
      <c r="N60" s="33" t="n">
        <f aca="false">J60/M60</f>
        <v>2.81096559963231</v>
      </c>
      <c r="O60" s="33" t="n">
        <f aca="false">N60*$B$17</f>
        <v>4.21644839944846</v>
      </c>
      <c r="P60" s="33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2" t="n">
        <f aca="false">INDEX(레벨표!$B:$B,MATCH(A61,레벨표!$A:$A,0))</f>
        <v>93.050970441364</v>
      </c>
      <c r="C61" s="33" t="n">
        <f aca="false">$B$4*$B$5^(A61-1)</f>
        <v>466.81622872364</v>
      </c>
      <c r="D61" s="34" t="n">
        <f aca="false">$B$8*A61</f>
        <v>0.82</v>
      </c>
      <c r="E61" s="35" t="n">
        <f aca="false">MIN(상수!$B$9+$B$9*A61,상수!$B$11)</f>
        <v>0.173</v>
      </c>
      <c r="F61" s="17" t="n">
        <f aca="false">1+E61*상수!$B$10</f>
        <v>1.0865</v>
      </c>
      <c r="G61" s="33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INDEX(레벨표!$C:$C,MATCH(A61,레벨표!$A:$A,0))+$B$10*A61</f>
        <v>674</v>
      </c>
      <c r="K61" s="18" t="n">
        <f aca="false">$B$11*A61+$B$12</f>
        <v>512</v>
      </c>
      <c r="L61" s="34" t="n">
        <f aca="false">MIN(K61/(K61+상수!$B$3*A61+상수!$B$4),상수!$B$5)</f>
        <v>0.43500424808836</v>
      </c>
      <c r="M61" s="33" t="n">
        <f aca="false">$B$16*B61*(1-L61)</f>
        <v>262.867015053131</v>
      </c>
      <c r="N61" s="33" t="n">
        <f aca="false">J61/M61</f>
        <v>2.56403413666705</v>
      </c>
      <c r="O61" s="33" t="n">
        <f aca="false">N61*$B$17</f>
        <v>3.84605120500058</v>
      </c>
      <c r="P61" s="33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2" t="n">
        <f aca="false">INDEX(레벨표!$B:$B,MATCH(A62,레벨표!$A:$A,0))</f>
        <v>104.217086894328</v>
      </c>
      <c r="C62" s="33" t="n">
        <f aca="false">$B$4*$B$5^(A62-1)</f>
        <v>520.500095026859</v>
      </c>
      <c r="D62" s="34" t="n">
        <f aca="false">$B$8*A62</f>
        <v>0.84</v>
      </c>
      <c r="E62" s="35" t="n">
        <f aca="false">MIN(상수!$B$9+$B$9*A62,상수!$B$11)</f>
        <v>0.176</v>
      </c>
      <c r="F62" s="17" t="n">
        <f aca="false">1+E62*상수!$B$10</f>
        <v>1.088</v>
      </c>
      <c r="G62" s="33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INDEX(레벨표!$C:$C,MATCH(A62,레벨표!$A:$A,0))+$B$10*A62</f>
        <v>688</v>
      </c>
      <c r="K62" s="18" t="n">
        <f aca="false">$B$11*A62+$B$12</f>
        <v>524</v>
      </c>
      <c r="L62" s="34" t="n">
        <f aca="false">MIN(K62/(K62+상수!$B$3*A62+상수!$B$4),상수!$B$5)</f>
        <v>0.435215946843854</v>
      </c>
      <c r="M62" s="33" t="n">
        <f aca="false">$B$16*B62*(1-L62)</f>
        <v>294.300743721524</v>
      </c>
      <c r="N62" s="33" t="n">
        <f aca="false">J62/M62</f>
        <v>2.33774468694856</v>
      </c>
      <c r="O62" s="33" t="n">
        <f aca="false">N62*$B$17</f>
        <v>3.50661703042283</v>
      </c>
      <c r="P62" s="33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2" t="n">
        <f aca="false">INDEX(레벨표!$B:$B,MATCH(A63,레벨표!$A:$A,0))</f>
        <v>116.723137321647</v>
      </c>
      <c r="C63" s="33" t="n">
        <f aca="false">$B$4*$B$5^(A63-1)</f>
        <v>580.357605954948</v>
      </c>
      <c r="D63" s="34" t="n">
        <f aca="false">$B$8*A63</f>
        <v>0.86</v>
      </c>
      <c r="E63" s="35" t="n">
        <f aca="false">MIN(상수!$B$9+$B$9*A63,상수!$B$11)</f>
        <v>0.179</v>
      </c>
      <c r="F63" s="17" t="n">
        <f aca="false">1+E63*상수!$B$10</f>
        <v>1.0895</v>
      </c>
      <c r="G63" s="33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INDEX(레벨표!$C:$C,MATCH(A63,레벨표!$A:$A,0))+$B$10*A63</f>
        <v>702</v>
      </c>
      <c r="K63" s="18" t="n">
        <f aca="false">$B$11*A63+$B$12</f>
        <v>536</v>
      </c>
      <c r="L63" s="34" t="n">
        <f aca="false">MIN(K63/(K63+상수!$B$3*A63+상수!$B$4),상수!$B$5)</f>
        <v>0.435418359057677</v>
      </c>
      <c r="M63" s="33" t="n">
        <f aca="false">$B$16*B63*(1-L63)</f>
        <v>329.498702024958</v>
      </c>
      <c r="N63" s="33" t="n">
        <f aca="false">J63/M63</f>
        <v>2.13050915128287</v>
      </c>
      <c r="O63" s="33" t="n">
        <f aca="false">N63*$B$17</f>
        <v>3.1957637269243</v>
      </c>
      <c r="P63" s="33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2" t="n">
        <f aca="false">INDEX(레벨표!$B:$B,MATCH(A64,레벨표!$A:$A,0))</f>
        <v>130.729913800245</v>
      </c>
      <c r="C64" s="33" t="n">
        <f aca="false">$B$4*$B$5^(A64-1)</f>
        <v>647.098730639767</v>
      </c>
      <c r="D64" s="34" t="n">
        <f aca="false">$B$8*A64</f>
        <v>0.88</v>
      </c>
      <c r="E64" s="35" t="n">
        <f aca="false">MIN(상수!$B$9+$B$9*A64,상수!$B$11)</f>
        <v>0.182</v>
      </c>
      <c r="F64" s="17" t="n">
        <f aca="false">1+E64*상수!$B$10</f>
        <v>1.091</v>
      </c>
      <c r="G64" s="33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INDEX(레벨표!$C:$C,MATCH(A64,레벨표!$A:$A,0))+$B$10*A64</f>
        <v>716</v>
      </c>
      <c r="K64" s="18" t="n">
        <f aca="false">$B$11*A64+$B$12</f>
        <v>548</v>
      </c>
      <c r="L64" s="34" t="n">
        <f aca="false">MIN(K64/(K64+상수!$B$3*A64+상수!$B$4),상수!$B$5)</f>
        <v>0.435612082670906</v>
      </c>
      <c r="M64" s="33" t="n">
        <f aca="false">$B$16*B64*(1-L64)</f>
        <v>368.91191891166</v>
      </c>
      <c r="N64" s="33" t="n">
        <f aca="false">J64/M64</f>
        <v>1.9408426870899</v>
      </c>
      <c r="O64" s="33" t="n">
        <f aca="false">N64*$B$17</f>
        <v>2.91126403063486</v>
      </c>
      <c r="P64" s="33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2" t="n">
        <f aca="false">INDEX(레벨표!$B:$B,MATCH(A65,레벨표!$A:$A,0))</f>
        <v>146.417503456274</v>
      </c>
      <c r="C65" s="33" t="n">
        <f aca="false">$B$4*$B$5^(A65-1)</f>
        <v>721.51508466334</v>
      </c>
      <c r="D65" s="34" t="n">
        <f aca="false">$B$8*A65</f>
        <v>0.9</v>
      </c>
      <c r="E65" s="35" t="n">
        <f aca="false">MIN(상수!$B$9+$B$9*A65,상수!$B$11)</f>
        <v>0.185</v>
      </c>
      <c r="F65" s="17" t="n">
        <f aca="false">1+E65*상수!$B$10</f>
        <v>1.0925</v>
      </c>
      <c r="G65" s="33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INDEX(레벨표!$C:$C,MATCH(A65,레벨표!$A:$A,0))+$B$10*A65</f>
        <v>730</v>
      </c>
      <c r="K65" s="18" t="n">
        <f aca="false">$B$11*A65+$B$12</f>
        <v>560</v>
      </c>
      <c r="L65" s="34" t="n">
        <f aca="false">MIN(K65/(K65+상수!$B$3*A65+상수!$B$4),상수!$B$5)</f>
        <v>0.43579766536965</v>
      </c>
      <c r="M65" s="33" t="n">
        <f aca="false">$B$16*B65*(1-L65)</f>
        <v>413.045486403886</v>
      </c>
      <c r="N65" s="33" t="n">
        <f aca="false">J65/M65</f>
        <v>1.76735982846739</v>
      </c>
      <c r="O65" s="33" t="n">
        <f aca="false">N65*$B$17</f>
        <v>2.65103974270108</v>
      </c>
      <c r="P65" s="33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2" t="n">
        <f aca="false">INDEX(레벨표!$B:$B,MATCH(A66,레벨표!$A:$A,0))</f>
        <v>163.987603871027</v>
      </c>
      <c r="C66" s="33" t="n">
        <f aca="false">$B$4*$B$5^(A66-1)</f>
        <v>804.489319399624</v>
      </c>
      <c r="D66" s="34" t="n">
        <f aca="false">$B$8*A66</f>
        <v>0.92</v>
      </c>
      <c r="E66" s="35" t="n">
        <f aca="false">MIN(상수!$B$9+$B$9*A66,상수!$B$11)</f>
        <v>0.188</v>
      </c>
      <c r="F66" s="17" t="n">
        <f aca="false">1+E66*상수!$B$10</f>
        <v>1.094</v>
      </c>
      <c r="G66" s="33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INDEX(레벨표!$C:$C,MATCH(A66,레벨표!$A:$A,0))+$B$10*A66</f>
        <v>744</v>
      </c>
      <c r="K66" s="18" t="n">
        <f aca="false">$B$11*A66+$B$12</f>
        <v>572</v>
      </c>
      <c r="L66" s="34" t="n">
        <f aca="false">MIN(K66/(K66+상수!$B$3*A66+상수!$B$4),상수!$B$5)</f>
        <v>0.435975609756098</v>
      </c>
      <c r="M66" s="33" t="n">
        <f aca="false">$B$16*B66*(1-L66)</f>
        <v>462.465041404573</v>
      </c>
      <c r="N66" s="33" t="n">
        <f aca="false">J66/M66</f>
        <v>1.60877024940169</v>
      </c>
      <c r="O66" s="33" t="n">
        <f aca="false">N66*$B$17</f>
        <v>2.41315537410254</v>
      </c>
      <c r="P66" s="33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2" t="n">
        <f aca="false">INDEX(레벨표!$B:$B,MATCH(A67,레벨표!$A:$A,0))</f>
        <v>183.66611633555</v>
      </c>
      <c r="C67" s="33" t="n">
        <f aca="false">$B$4*$B$5^(A67-1)</f>
        <v>897.005591130581</v>
      </c>
      <c r="D67" s="34" t="n">
        <f aca="false">$B$8*A67</f>
        <v>0.94</v>
      </c>
      <c r="E67" s="35" t="n">
        <f aca="false">MIN(상수!$B$9+$B$9*A67,상수!$B$11)</f>
        <v>0.191</v>
      </c>
      <c r="F67" s="17" t="n">
        <f aca="false">1+E67*상수!$B$10</f>
        <v>1.0955</v>
      </c>
      <c r="G67" s="33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INDEX(레벨표!$C:$C,MATCH(A67,레벨표!$A:$A,0))+$B$10*A67</f>
        <v>758</v>
      </c>
      <c r="K67" s="18" t="n">
        <f aca="false">$B$11*A67+$B$12</f>
        <v>584</v>
      </c>
      <c r="L67" s="34" t="n">
        <f aca="false">MIN(K67/(K67+상수!$B$3*A67+상수!$B$4),상수!$B$5)</f>
        <v>0.436146377893951</v>
      </c>
      <c r="M67" s="33" t="n">
        <f aca="false">$B$16*B67*(1-L67)</f>
        <v>517.804024769755</v>
      </c>
      <c r="N67" s="33" t="n">
        <f aca="false">J67/M67</f>
        <v>1.46387429170148</v>
      </c>
      <c r="O67" s="33" t="n">
        <f aca="false">N67*$B$17</f>
        <v>2.19581143755222</v>
      </c>
      <c r="P67" s="33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2" t="n">
        <f aca="false">INDEX(레벨표!$B:$B,MATCH(A68,레벨표!$A:$A,0))</f>
        <v>205.706050295816</v>
      </c>
      <c r="C68" s="33" t="n">
        <f aca="false">$B$4*$B$5^(A68-1)</f>
        <v>1000.1612341106</v>
      </c>
      <c r="D68" s="34" t="n">
        <f aca="false">$B$8*A68</f>
        <v>0.96</v>
      </c>
      <c r="E68" s="35" t="n">
        <f aca="false">MIN(상수!$B$9+$B$9*A68,상수!$B$11)</f>
        <v>0.194</v>
      </c>
      <c r="F68" s="17" t="n">
        <f aca="false">1+E68*상수!$B$10</f>
        <v>1.097</v>
      </c>
      <c r="G68" s="33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INDEX(레벨표!$C:$C,MATCH(A68,레벨표!$A:$A,0))+$B$10*A68</f>
        <v>772</v>
      </c>
      <c r="K68" s="18" t="n">
        <f aca="false">$B$11*A68+$B$12</f>
        <v>596</v>
      </c>
      <c r="L68" s="34" t="n">
        <f aca="false">MIN(K68/(K68+상수!$B$3*A68+상수!$B$4),상수!$B$5)</f>
        <v>0.436310395314788</v>
      </c>
      <c r="M68" s="33" t="n">
        <f aca="false">$B$16*B68*(1-L68)</f>
        <v>579.771810863026</v>
      </c>
      <c r="N68" s="33" t="n">
        <f aca="false">J68/M68</f>
        <v>1.33155835715923</v>
      </c>
      <c r="O68" s="33" t="n">
        <f aca="false">N68*$B$17</f>
        <v>1.99733753573884</v>
      </c>
      <c r="P68" s="33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2" t="n">
        <f aca="false">INDEX(레벨표!$B:$B,MATCH(A69,레벨표!$A:$A,0))</f>
        <v>230.390776331314</v>
      </c>
      <c r="C69" s="33" t="n">
        <f aca="false">$B$4*$B$5^(A69-1)</f>
        <v>1115.17977603332</v>
      </c>
      <c r="D69" s="34" t="n">
        <f aca="false">$B$8*A69</f>
        <v>0.98</v>
      </c>
      <c r="E69" s="35" t="n">
        <f aca="false">MIN(상수!$B$9+$B$9*A69,상수!$B$11)</f>
        <v>0.197</v>
      </c>
      <c r="F69" s="17" t="n">
        <f aca="false">1+E69*상수!$B$10</f>
        <v>1.0985</v>
      </c>
      <c r="G69" s="33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INDEX(레벨표!$C:$C,MATCH(A69,레벨표!$A:$A,0))+$B$10*A69</f>
        <v>786</v>
      </c>
      <c r="K69" s="18" t="n">
        <f aca="false">$B$11*A69+$B$12</f>
        <v>608</v>
      </c>
      <c r="L69" s="34" t="n">
        <f aca="false">MIN(K69/(K69+상수!$B$3*A69+상수!$B$4),상수!$B$5)</f>
        <v>0.436468054558507</v>
      </c>
      <c r="M69" s="33" t="n">
        <f aca="false">$B$16*B69*(1-L69)</f>
        <v>649.162811988807</v>
      </c>
      <c r="N69" s="33" t="n">
        <f aca="false">J69/M69</f>
        <v>1.21079024473378</v>
      </c>
      <c r="O69" s="33" t="n">
        <f aca="false">N69*$B$17</f>
        <v>1.81618536710068</v>
      </c>
      <c r="P69" s="33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2" t="n">
        <f aca="false">INDEX(레벨표!$B:$B,MATCH(A70,레벨표!$A:$A,0))</f>
        <v>258.037669491072</v>
      </c>
      <c r="C70" s="33" t="n">
        <f aca="false">$B$4*$B$5^(A70-1)</f>
        <v>1243.42545027715</v>
      </c>
      <c r="D70" s="34" t="n">
        <f aca="false">$B$8*A70</f>
        <v>1</v>
      </c>
      <c r="E70" s="35" t="n">
        <f aca="false">MIN(상수!$B$9+$B$9*A70,상수!$B$11)</f>
        <v>0.2</v>
      </c>
      <c r="F70" s="17" t="n">
        <f aca="false">1+E70*상수!$B$10</f>
        <v>1.1</v>
      </c>
      <c r="G70" s="33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INDEX(레벨표!$C:$C,MATCH(A70,레벨표!$A:$A,0))+$B$10*A70</f>
        <v>800</v>
      </c>
      <c r="K70" s="18" t="n">
        <f aca="false">$B$11*A70+$B$12</f>
        <v>620</v>
      </c>
      <c r="L70" s="34" t="n">
        <f aca="false">MIN(K70/(K70+상수!$B$3*A70+상수!$B$4),상수!$B$5)</f>
        <v>0.436619718309859</v>
      </c>
      <c r="M70" s="33" t="n">
        <f aca="false">$B$16*B70*(1-L70)</f>
        <v>726.866674622738</v>
      </c>
      <c r="N70" s="33" t="n">
        <f aca="false">J70/M70</f>
        <v>1.10061449772095</v>
      </c>
      <c r="O70" s="33" t="n">
        <f aca="false">N70*$B$17</f>
        <v>1.65092174658142</v>
      </c>
      <c r="P70" s="33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2026-10-13T03:04:48Z</dcterms:created>
  <dc:creator>openpyxl</dc:creator>
  <dc:description/>
  <dc:language>en-US</dc:language>
  <cp:lastModifiedBy/>
  <dcterms:modified xsi:type="dcterms:W3CDTF">2026-10-13T03:04:54Z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